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Summary" sheetId="2" state="visible" r:id="rId4"/>
    <sheet name="Categor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<sst xmlns="http://schemas.openxmlformats.org/spreadsheetml/2006/main" count="445" uniqueCount="215">
  <si>
    <t xml:space="preserve">Date</t>
  </si>
  <si>
    <t xml:space="preserve">Vendor</t>
  </si>
  <si>
    <t xml:space="preserve">Description</t>
  </si>
  <si>
    <t xml:space="preserve">Category</t>
  </si>
  <si>
    <t xml:space="preserve">Amount (ex VAT)</t>
  </si>
  <si>
    <t xml:space="preserve">VAT (20%)</t>
  </si>
  <si>
    <t xml:space="preserve">Total (inc VAT)</t>
  </si>
  <si>
    <t xml:space="preserve">Currency</t>
  </si>
  <si>
    <t xml:space="preserve">Receipt Ref</t>
  </si>
  <si>
    <t xml:space="preserve">Payment Method</t>
  </si>
  <si>
    <t xml:space="preserve">Notes</t>
  </si>
  <si>
    <t xml:space="preserve">1st Formations</t>
  </si>
  <si>
    <t xml:space="preserve">Company formation - Paybacker LTD (Order 5790040)</t>
  </si>
  <si>
    <t xml:space="preserve">Professional Services</t>
  </si>
  <si>
    <t xml:space="preserve">TBC</t>
  </si>
  <si>
    <t xml:space="preserve">GBP</t>
  </si>
  <si>
    <t xml:space="preserve">5790040</t>
  </si>
  <si>
    <t xml:space="preserve">Card</t>
  </si>
  <si>
    <t xml:space="preserve">Amount in attached invoice - check PDF</t>
  </si>
  <si>
    <t xml:space="preserve">123 Reg</t>
  </si>
  <si>
    <t xml:space="preserve">.AI Domain Registration - paybacker.ai (2 years)</t>
  </si>
  <si>
    <t xml:space="preserve">Software &amp; SaaS</t>
  </si>
  <si>
    <t xml:space="preserve">4043764096</t>
  </si>
  <si>
    <t xml:space="preserve">Vercel</t>
  </si>
  <si>
    <t xml:space="preserve">Pro plan (Mar 22 - Apr 21, 2026)</t>
  </si>
  <si>
    <t xml:space="preserve">Hosting &amp; Infrastructure</t>
  </si>
  <si>
    <t xml:space="preserve">USD</t>
  </si>
  <si>
    <t xml:space="preserve">2633-3613</t>
  </si>
  <si>
    <t xml:space="preserve">Mastercard 4679</t>
  </si>
  <si>
    <t xml:space="preserve">No VAT charged</t>
  </si>
  <si>
    <t xml:space="preserve">Anthropic</t>
  </si>
  <si>
    <t xml:space="preserve">Claude API credits</t>
  </si>
  <si>
    <t xml:space="preserve">2288-3920-9674</t>
  </si>
  <si>
    <t xml:space="preserve">Link</t>
  </si>
  <si>
    <t xml:space="preserve">Invoice 6IO6ZR0S-0054</t>
  </si>
  <si>
    <t xml:space="preserve">Railway</t>
  </si>
  <si>
    <t xml:space="preserve">Hobby plan (Mar 23 - Apr 23, 2026)</t>
  </si>
  <si>
    <t xml:space="preserve">2638-8141</t>
  </si>
  <si>
    <t xml:space="preserve">Mastercard 1730</t>
  </si>
  <si>
    <t xml:space="preserve">2721-7395-8885</t>
  </si>
  <si>
    <t xml:space="preserve">Invoice 6IO6ZR0S-0055</t>
  </si>
  <si>
    <t xml:space="preserve">2972-6108-0950</t>
  </si>
  <si>
    <t xml:space="preserve">Invoice 6IO6ZR0S-0056</t>
  </si>
  <si>
    <t xml:space="preserve">2114-3091-3118</t>
  </si>
  <si>
    <t xml:space="preserve">Invoice 6IO6ZR0S-0057</t>
  </si>
  <si>
    <t xml:space="preserve">2497-4394-3354</t>
  </si>
  <si>
    <t xml:space="preserve">Invoice 6IO6ZR0S-0058</t>
  </si>
  <si>
    <t xml:space="preserve">Google Ads</t>
  </si>
  <si>
    <t xml:space="preserve">Advertising spend</t>
  </si>
  <si>
    <t xml:space="preserve">Advertising</t>
  </si>
  <si>
    <t xml:space="preserve">317-010-5897</t>
  </si>
  <si>
    <t xml:space="preserve">Payment received confirmation</t>
  </si>
  <si>
    <t xml:space="preserve">317-010-5897-2</t>
  </si>
  <si>
    <t xml:space="preserve">Second payment same day</t>
  </si>
  <si>
    <t xml:space="preserve">Google Cloud</t>
  </si>
  <si>
    <t xml:space="preserve">Cloud Platform &amp; APIs</t>
  </si>
  <si>
    <t xml:space="preserve">01216F-808B2E-0913F6</t>
  </si>
  <si>
    <t xml:space="preserve">Visa 3001</t>
  </si>
  <si>
    <t xml:space="preserve">Google Workspace</t>
  </si>
  <si>
    <t xml:space="preserve">Business email (paybacker.co.uk)</t>
  </si>
  <si>
    <t xml:space="preserve">paybacker.co.uk</t>
  </si>
  <si>
    <t xml:space="preserve">2306-0387-6306</t>
  </si>
  <si>
    <t xml:space="preserve">Invoice 6IO6ZR0S-0059</t>
  </si>
  <si>
    <t xml:space="preserve">ElevenLabs</t>
  </si>
  <si>
    <t xml:space="preserve">Creator subscription (Mar 26 - Apr 26)</t>
  </si>
  <si>
    <t xml:space="preserve">2739-7909-4965</t>
  </si>
  <si>
    <t xml:space="preserve">Mastercard 0355</t>
  </si>
  <si>
    <t xml:space="preserve">50% first month discount applied</t>
  </si>
  <si>
    <t xml:space="preserve">ICO</t>
  </si>
  <si>
    <t xml:space="preserve">Data Protection Fee - Direct Debit setup</t>
  </si>
  <si>
    <t xml:space="preserve">ZC111084</t>
  </si>
  <si>
    <t xml:space="preserve">Direct Debit</t>
  </si>
  <si>
    <t xml:space="preserve">DD setup confirmation - annual fee ~£40</t>
  </si>
  <si>
    <t xml:space="preserve">2379-1573-1698</t>
  </si>
  <si>
    <t xml:space="preserve">Invoice 6IO6ZR0S-0060</t>
  </si>
  <si>
    <t xml:space="preserve">2300-6108-8898</t>
  </si>
  <si>
    <t xml:space="preserve">Invoice 6IO6ZR0S-0061</t>
  </si>
  <si>
    <t xml:space="preserve">Awin</t>
  </si>
  <si>
    <t xml:space="preserve">Affiliate network invoice</t>
  </si>
  <si>
    <t xml:space="preserve">1241-436122</t>
  </si>
  <si>
    <t xml:space="preserve">Amount in attached PDF invoice</t>
  </si>
  <si>
    <t xml:space="preserve">Monthly billing document</t>
  </si>
  <si>
    <t xml:space="preserve">5534845723</t>
  </si>
  <si>
    <t xml:space="preserve">Invoice ready - check Google Ads dashboard</t>
  </si>
  <si>
    <t xml:space="preserve">2353-7134-2101</t>
  </si>
  <si>
    <t xml:space="preserve">Invoice 6IO6ZR0S-0062</t>
  </si>
  <si>
    <t xml:space="preserve">Obsidian</t>
  </si>
  <si>
    <t xml:space="preserve">Sync yearly subscription (Standard 1GB)</t>
  </si>
  <si>
    <t xml:space="preserve">1077-9581</t>
  </si>
  <si>
    <t xml:space="preserve">Annual - no VAT charged</t>
  </si>
  <si>
    <t xml:space="preserve">2022-5502-6712</t>
  </si>
  <si>
    <t xml:space="preserve">Invoice 6IO6ZR0S-0063</t>
  </si>
  <si>
    <t xml:space="preserve">2522-0819-0428</t>
  </si>
  <si>
    <t xml:space="preserve">Invoice 6IO6ZR0S-0064</t>
  </si>
  <si>
    <t xml:space="preserve">Render</t>
  </si>
  <si>
    <t xml:space="preserve">Servers + Disks hosting</t>
  </si>
  <si>
    <t xml:space="preserve">2328-6691</t>
  </si>
  <si>
    <t xml:space="preserve">Mastercard 9384</t>
  </si>
  <si>
    <t xml:space="preserve">TAC Security</t>
  </si>
  <si>
    <t xml:space="preserve">ESOF AppSec ADA CASA - Basic (Google Play compliance)</t>
  </si>
  <si>
    <t xml:space="preserve">TAC-7425</t>
  </si>
  <si>
    <t xml:space="preserve">Google Play Store security compliance - no VAT charged</t>
  </si>
  <si>
    <t xml:space="preserve">Claude API credits (one-time purchase)</t>
  </si>
  <si>
    <t xml:space="preserve">2444-5361-4827</t>
  </si>
  <si>
    <t xml:space="preserve">Invoice 6IO6ZR0S-0066</t>
  </si>
  <si>
    <t xml:space="preserve">Google</t>
  </si>
  <si>
    <t xml:space="preserve">Google Play Developer Registration Fee</t>
  </si>
  <si>
    <t xml:space="preserve">PDS.3479-5651-0346-04283</t>
  </si>
  <si>
    <t xml:space="preserve">One-time fee - no VAT charged</t>
  </si>
  <si>
    <t xml:space="preserve">Claude API credits (auto recharge)</t>
  </si>
  <si>
    <t xml:space="preserve">2548-7798-7819</t>
  </si>
  <si>
    <t xml:space="preserve">Invoice RRQJD1BI-0007</t>
  </si>
  <si>
    <t xml:space="preserve">Claude API credits (prepaid extra usage)</t>
  </si>
  <si>
    <t xml:space="preserve">2499-0601-0904</t>
  </si>
  <si>
    <t xml:space="preserve">Invoice RRQJD1BI-0006</t>
  </si>
  <si>
    <t xml:space="preserve">2546-2529-5668</t>
  </si>
  <si>
    <t xml:space="preserve">Invoice RRQJD1BI-0009</t>
  </si>
  <si>
    <t xml:space="preserve">2196-6364-5858</t>
  </si>
  <si>
    <t xml:space="preserve">Invoice RRQJD1BI-0010</t>
  </si>
  <si>
    <t xml:space="preserve">2292-3329-0708</t>
  </si>
  <si>
    <t xml:space="preserve">Invoice RRQJD1BI-0013</t>
  </si>
  <si>
    <t xml:space="preserve">2413-7584-7439</t>
  </si>
  <si>
    <t xml:space="preserve">Invoice RRQJD1BI-0014</t>
  </si>
  <si>
    <t xml:space="preserve">2508-3484-0994</t>
  </si>
  <si>
    <t xml:space="preserve">Invoice RRQJD1BI-0015</t>
  </si>
  <si>
    <t xml:space="preserve">2841-7116-7173</t>
  </si>
  <si>
    <t xml:space="preserve">Invoice RRQJD1BI-0016</t>
  </si>
  <si>
    <t xml:space="preserve">2638-7276-5295</t>
  </si>
  <si>
    <t xml:space="preserve">Invoice RRQJD1BI-0017</t>
  </si>
  <si>
    <t xml:space="preserve">2431-5982-7234</t>
  </si>
  <si>
    <t xml:space="preserve">Invoice RRQJD1BI-0018</t>
  </si>
  <si>
    <t xml:space="preserve">2365-6412-4498</t>
  </si>
  <si>
    <t xml:space="preserve">Invoice RRQJD1BI-0019</t>
  </si>
  <si>
    <t xml:space="preserve">2660-7966-4426</t>
  </si>
  <si>
    <t xml:space="preserve">Invoice RRQJD1BI-0020</t>
  </si>
  <si>
    <t xml:space="preserve">2841-6164-9698</t>
  </si>
  <si>
    <t xml:space="preserve">Invoice RRQJD1BI-0021</t>
  </si>
  <si>
    <t xml:space="preserve">2988-0055-7391</t>
  </si>
  <si>
    <t xml:space="preserve">Invoice RRQJD1BI-0022</t>
  </si>
  <si>
    <t xml:space="preserve">Claude API credits (auto-recharge)</t>
  </si>
  <si>
    <t xml:space="preserve">2780-4360-2844</t>
  </si>
  <si>
    <t xml:space="preserve">Invoice 6IO6ZR0S-0068</t>
  </si>
  <si>
    <t xml:space="preserve">2575-4063-7164</t>
  </si>
  <si>
    <t xml:space="preserve">Invoice RRQJD1BI-0025</t>
  </si>
  <si>
    <t xml:space="preserve">2751-0952-4802</t>
  </si>
  <si>
    <t xml:space="preserve">Invoice RRQJD1BI-0026</t>
  </si>
  <si>
    <t xml:space="preserve">Google AI Ultra (30 TB) - Google One subscription</t>
  </si>
  <si>
    <t xml:space="preserve">SOP.3391-1020-1457-07686</t>
  </si>
  <si>
    <t xml:space="preserve">Monthly subscription - auto-renewing</t>
  </si>
  <si>
    <t xml:space="preserve">Wispr Flow</t>
  </si>
  <si>
    <t xml:space="preserve">Flow Pro annual subscription (1 seat)</t>
  </si>
  <si>
    <t xml:space="preserve">2225-2404</t>
  </si>
  <si>
    <t xml:space="preserve">Invoice PBPAYFIX-0001 - Apr 2026 to Apr 2027 - no VAT charged</t>
  </si>
  <si>
    <t xml:space="preserve">2407-8844-5794</t>
  </si>
  <si>
    <t xml:space="preserve">Invoice RRQJD1BI-0027</t>
  </si>
  <si>
    <t xml:space="preserve">2850-3300-3913</t>
  </si>
  <si>
    <t xml:space="preserve">Invoice RRQJD1BI-0028</t>
  </si>
  <si>
    <t xml:space="preserve">Claude API credits (one-time credit purchase)</t>
  </si>
  <si>
    <t xml:space="preserve">2229-7505-8193</t>
  </si>
  <si>
    <t xml:space="preserve">Invoice 6IO6ZR0S-0069</t>
  </si>
  <si>
    <t xml:space="preserve">TOTALS (numeric entries only):</t>
  </si>
  <si>
    <t xml:space="preserve">Paybacker Business Expenses Summary 2026</t>
  </si>
  <si>
    <t xml:space="preserve">Monthly Totals by 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</si>
  <si>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</si>
  <si>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</si>
  <si>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</si>
  <si>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</si>
  <si>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</si>
  <si>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</si>
  <si>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</si>
  <si>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</si>
  <si>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</si>
  <si>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</si>
  <si>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</si>
  <si>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</si>
  <si>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</si>
  <si>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Office &amp; Equipment</t>
  </si>
  <si>
    <t xml:space="preserve">Travel &amp; Subsistence</t>
  </si>
  <si>
    <t xml:space="preserve">Phone &amp; Internet</t>
  </si>
  <si>
    <t xml:space="preserve">Bank Charges</t>
  </si>
  <si>
    <t xml:space="preserve">Insurance</t>
  </si>
  <si>
    <t xml:space="preserve">Other</t>
  </si>
  <si>
    <t xml:space="preserve">MONTHLY TOTAL</t>
  </si>
  <si>
    <t xml:space="preserve">Quarterly Totals</t>
  </si>
  <si>
    <t xml:space="preserve">Quarter</t>
  </si>
  <si>
    <t xml:space="preserve">Ex VAT</t>
  </si>
  <si>
    <t xml:space="preserve">VAT</t>
  </si>
  <si>
    <t xml:space="preserve">Total</t>
  </si>
  <si>
    <t xml:space="preserve">Q1</t>
  </si>
  <si>
    <t xml:space="preserve">Q2</t>
  </si>
  <si>
    <t xml:space="preserve">Q3</t>
  </si>
  <si>
    <t xml:space="preserve">Q4</t>
  </si>
  <si>
    <t xml:space="preserve">Annual Totals</t>
  </si>
  <si>
    <t xml:space="preserve">YTD 2026</t>
  </si>
  <si>
    <t xml:space="preserve">VAT Reclaimable (GBP receipts only)</t>
  </si>
  <si>
    <t xml:space="preserve">UK Business Expense Categories</t>
  </si>
  <si>
    <t xml:space="preserve">Example Vendors</t>
  </si>
  <si>
    <t xml:space="preserve">Software subscriptions and cloud services</t>
  </si>
  <si>
    <t xml:space="preserve">Anthropic, Obsidian, Google Workspace, ElevenLabs, PostHog, Resend, fal.ai</t>
  </si>
  <si>
    <t xml:space="preserve">Paid advertising and marketing spend</t>
  </si>
  <si>
    <t xml:space="preserve">Google Ads, Meta/Facebook Ads, Awin</t>
  </si>
  <si>
    <t xml:space="preserve">Web hosting, cloud servers, and deployment</t>
  </si>
  <si>
    <t xml:space="preserve">Vercel, Railway, Render, Supabase, Google Cloud</t>
  </si>
  <si>
    <t xml:space="preserve">Legal, accounting, company formation</t>
  </si>
  <si>
    <t xml:space="preserve">1st Formations, ICO, Accountants</t>
  </si>
  <si>
    <t xml:space="preserve">Hardware, furniture, and office supplies</t>
  </si>
  <si>
    <t xml:space="preserve">Business travel, meals, and accommodation</t>
  </si>
  <si>
    <t xml:space="preserve">Business phone and broadband</t>
  </si>
  <si>
    <t xml:space="preserve">Banking fees and payment processing</t>
  </si>
  <si>
    <t xml:space="preserve">Stripe</t>
  </si>
  <si>
    <t xml:space="preserve">Business insurance premiums</t>
  </si>
  <si>
    <t xml:space="preserve">Domain Names</t>
  </si>
  <si>
    <t xml:space="preserve">Domain registration and renewal</t>
  </si>
  <si>
    <t xml:space="preserve">123 Reg, GoDaddy, Namecheap</t>
  </si>
  <si>
    <t xml:space="preserve">Miscellaneous business expenses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</si>
</sst>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\£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A162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4"/>
      <color rgb="FF0064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5F7FA"/>
        <bgColor rgb="FFF0F4F8"/>
      </patternFill>
    </fill>
    <fill>
      <patternFill patternType="solid">
        <fgColor rgb="FFF0F4F8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double">
        <color rgb="FF0A162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F0F4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1628"/>
      <rgbColor rgb="FF0064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45"/>
    <col collapsed="false" customWidth="true" hidden="false" outlineLevel="0" max="4" min="4" style="1" width="25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9" min="9" style="1" width="28"/>
    <col collapsed="false" customWidth="true" hidden="false" outlineLevel="0" max="10" min="10" style="1" width="18"/>
    <col collapsed="false" customWidth="true" hidden="false" outlineLevel="0" max="11" min="11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n">
        <v>46101</v>
      </c>
      <c r="B2" s="4" t="s">
        <v>11</v>
      </c>
      <c r="C2" s="4" t="s">
        <v>12</v>
      </c>
      <c r="D2" s="4" t="s">
        <v>13</v>
      </c>
      <c r="E2" s="5" t="s">
        <v>14</v>
      </c>
      <c r="F2" s="5" t="s">
        <v>14</v>
      </c>
      <c r="G2" s="5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customFormat="false" ht="15" hidden="false" customHeight="true" outlineLevel="0" collapsed="false">
      <c r="A3" s="6" t="n">
        <v>46103</v>
      </c>
      <c r="B3" s="7" t="s">
        <v>19</v>
      </c>
      <c r="C3" s="7" t="s">
        <v>20</v>
      </c>
      <c r="D3" s="7" t="s">
        <v>21</v>
      </c>
      <c r="E3" s="8" t="n">
        <v>155.98</v>
      </c>
      <c r="F3" s="8" t="n">
        <v>31.2</v>
      </c>
      <c r="G3" s="8" t="n">
        <v>187.18</v>
      </c>
      <c r="H3" s="7" t="s">
        <v>15</v>
      </c>
      <c r="I3" s="7" t="s">
        <v>22</v>
      </c>
      <c r="J3" s="7" t="s">
        <v>17</v>
      </c>
      <c r="K3" s="7"/>
    </row>
    <row r="4" customFormat="false" ht="15" hidden="false" customHeight="true" outlineLevel="0" collapsed="false">
      <c r="A4" s="3" t="n">
        <v>46103</v>
      </c>
      <c r="B4" s="4" t="s">
        <v>23</v>
      </c>
      <c r="C4" s="4" t="s">
        <v>24</v>
      </c>
      <c r="D4" s="4" t="s">
        <v>25</v>
      </c>
      <c r="E4" s="9" t="n">
        <v>20</v>
      </c>
      <c r="F4" s="9" t="n">
        <v>0</v>
      </c>
      <c r="G4" s="9" t="n">
        <v>20</v>
      </c>
      <c r="H4" s="4" t="s">
        <v>26</v>
      </c>
      <c r="I4" s="4" t="s">
        <v>27</v>
      </c>
      <c r="J4" s="4" t="s">
        <v>28</v>
      </c>
      <c r="K4" s="4" t="s">
        <v>29</v>
      </c>
    </row>
    <row r="5" customFormat="false" ht="15" hidden="false" customHeight="true" outlineLevel="0" collapsed="false">
      <c r="A5" s="6" t="n">
        <v>46104</v>
      </c>
      <c r="B5" s="7" t="s">
        <v>30</v>
      </c>
      <c r="C5" s="7" t="s">
        <v>31</v>
      </c>
      <c r="D5" s="7" t="s">
        <v>21</v>
      </c>
      <c r="E5" s="8" t="n">
        <v>11</v>
      </c>
      <c r="F5" s="8" t="n">
        <v>2.2</v>
      </c>
      <c r="G5" s="8" t="n">
        <v>13.2</v>
      </c>
      <c r="H5" s="7" t="s">
        <v>26</v>
      </c>
      <c r="I5" s="7" t="s">
        <v>32</v>
      </c>
      <c r="J5" s="7" t="s">
        <v>33</v>
      </c>
      <c r="K5" s="7" t="s">
        <v>34</v>
      </c>
    </row>
    <row r="6" customFormat="false" ht="15" hidden="false" customHeight="true" outlineLevel="0" collapsed="false">
      <c r="A6" s="3" t="n">
        <v>46104</v>
      </c>
      <c r="B6" s="4" t="s">
        <v>35</v>
      </c>
      <c r="C6" s="4" t="s">
        <v>36</v>
      </c>
      <c r="D6" s="4" t="s">
        <v>25</v>
      </c>
      <c r="E6" s="9" t="n">
        <v>5</v>
      </c>
      <c r="F6" s="9" t="n">
        <v>0</v>
      </c>
      <c r="G6" s="9" t="n">
        <v>5</v>
      </c>
      <c r="H6" s="4" t="s">
        <v>26</v>
      </c>
      <c r="I6" s="4" t="s">
        <v>37</v>
      </c>
      <c r="J6" s="4" t="s">
        <v>38</v>
      </c>
      <c r="K6" s="4" t="s">
        <v>29</v>
      </c>
    </row>
    <row r="7" customFormat="false" ht="15" hidden="false" customHeight="true" outlineLevel="0" collapsed="false">
      <c r="A7" s="6" t="n">
        <v>46105</v>
      </c>
      <c r="B7" s="7" t="s">
        <v>30</v>
      </c>
      <c r="C7" s="7" t="s">
        <v>31</v>
      </c>
      <c r="D7" s="7" t="s">
        <v>21</v>
      </c>
      <c r="E7" s="8" t="n">
        <v>22</v>
      </c>
      <c r="F7" s="8" t="n">
        <v>4.4</v>
      </c>
      <c r="G7" s="8" t="n">
        <v>26.4</v>
      </c>
      <c r="H7" s="7" t="s">
        <v>26</v>
      </c>
      <c r="I7" s="7" t="s">
        <v>39</v>
      </c>
      <c r="J7" s="7" t="s">
        <v>33</v>
      </c>
      <c r="K7" s="7" t="s">
        <v>40</v>
      </c>
    </row>
    <row r="8" customFormat="false" ht="15" hidden="false" customHeight="true" outlineLevel="0" collapsed="false">
      <c r="A8" s="3" t="n">
        <v>46105</v>
      </c>
      <c r="B8" s="4" t="s">
        <v>30</v>
      </c>
      <c r="C8" s="4" t="s">
        <v>31</v>
      </c>
      <c r="D8" s="4" t="s">
        <v>21</v>
      </c>
      <c r="E8" s="9" t="n">
        <v>12</v>
      </c>
      <c r="F8" s="9" t="n">
        <v>2.4</v>
      </c>
      <c r="G8" s="9" t="n">
        <v>14.4</v>
      </c>
      <c r="H8" s="4" t="s">
        <v>26</v>
      </c>
      <c r="I8" s="4" t="s">
        <v>41</v>
      </c>
      <c r="J8" s="4" t="s">
        <v>33</v>
      </c>
      <c r="K8" s="4" t="s">
        <v>42</v>
      </c>
    </row>
    <row r="9" customFormat="false" ht="15" hidden="false" customHeight="true" outlineLevel="0" collapsed="false">
      <c r="A9" s="6" t="n">
        <v>46105</v>
      </c>
      <c r="B9" s="7" t="s">
        <v>30</v>
      </c>
      <c r="C9" s="7" t="s">
        <v>31</v>
      </c>
      <c r="D9" s="7" t="s">
        <v>21</v>
      </c>
      <c r="E9" s="8" t="n">
        <v>10</v>
      </c>
      <c r="F9" s="8" t="n">
        <v>2</v>
      </c>
      <c r="G9" s="8" t="n">
        <v>12</v>
      </c>
      <c r="H9" s="7" t="s">
        <v>26</v>
      </c>
      <c r="I9" s="7" t="s">
        <v>43</v>
      </c>
      <c r="J9" s="7" t="s">
        <v>33</v>
      </c>
      <c r="K9" s="7" t="s">
        <v>44</v>
      </c>
    </row>
    <row r="10" customFormat="false" ht="15" hidden="false" customHeight="true" outlineLevel="0" collapsed="false">
      <c r="A10" s="3" t="n">
        <v>46105</v>
      </c>
      <c r="B10" s="4" t="s">
        <v>30</v>
      </c>
      <c r="C10" s="4" t="s">
        <v>31</v>
      </c>
      <c r="D10" s="4" t="s">
        <v>21</v>
      </c>
      <c r="E10" s="9" t="n">
        <v>12</v>
      </c>
      <c r="F10" s="9" t="n">
        <v>2.4</v>
      </c>
      <c r="G10" s="9" t="n">
        <v>14.4</v>
      </c>
      <c r="H10" s="4" t="s">
        <v>26</v>
      </c>
      <c r="I10" s="4" t="s">
        <v>45</v>
      </c>
      <c r="J10" s="4" t="s">
        <v>33</v>
      </c>
      <c r="K10" s="4" t="s">
        <v>46</v>
      </c>
    </row>
    <row r="11" customFormat="false" ht="15" hidden="false" customHeight="true" outlineLevel="0" collapsed="false">
      <c r="A11" s="6" t="n">
        <v>46105</v>
      </c>
      <c r="B11" s="7" t="s">
        <v>47</v>
      </c>
      <c r="C11" s="7" t="s">
        <v>48</v>
      </c>
      <c r="D11" s="7" t="s">
        <v>49</v>
      </c>
      <c r="E11" s="8" t="n">
        <v>16.67</v>
      </c>
      <c r="F11" s="8" t="n">
        <v>3.33</v>
      </c>
      <c r="G11" s="8" t="n">
        <v>20</v>
      </c>
      <c r="H11" s="7" t="s">
        <v>15</v>
      </c>
      <c r="I11" s="7" t="s">
        <v>50</v>
      </c>
      <c r="J11" s="7" t="s">
        <v>17</v>
      </c>
      <c r="K11" s="7" t="s">
        <v>51</v>
      </c>
    </row>
    <row r="12" customFormat="false" ht="15" hidden="false" customHeight="true" outlineLevel="0" collapsed="false">
      <c r="A12" s="3" t="n">
        <v>46105</v>
      </c>
      <c r="B12" s="4" t="s">
        <v>47</v>
      </c>
      <c r="C12" s="4" t="s">
        <v>48</v>
      </c>
      <c r="D12" s="4" t="s">
        <v>49</v>
      </c>
      <c r="E12" s="9" t="n">
        <v>16.67</v>
      </c>
      <c r="F12" s="9" t="n">
        <v>3.33</v>
      </c>
      <c r="G12" s="9" t="n">
        <v>20</v>
      </c>
      <c r="H12" s="4" t="s">
        <v>15</v>
      </c>
      <c r="I12" s="4" t="s">
        <v>52</v>
      </c>
      <c r="J12" s="4" t="s">
        <v>17</v>
      </c>
      <c r="K12" s="4" t="s">
        <v>53</v>
      </c>
    </row>
    <row r="13" customFormat="false" ht="15" hidden="false" customHeight="true" outlineLevel="0" collapsed="false">
      <c r="A13" s="6" t="n">
        <v>46105</v>
      </c>
      <c r="B13" s="7" t="s">
        <v>54</v>
      </c>
      <c r="C13" s="7" t="s">
        <v>55</v>
      </c>
      <c r="D13" s="7" t="s">
        <v>25</v>
      </c>
      <c r="E13" s="8" t="n">
        <v>16.67</v>
      </c>
      <c r="F13" s="8" t="n">
        <v>3.33</v>
      </c>
      <c r="G13" s="8" t="n">
        <v>20</v>
      </c>
      <c r="H13" s="7" t="s">
        <v>15</v>
      </c>
      <c r="I13" s="7" t="s">
        <v>56</v>
      </c>
      <c r="J13" s="7" t="s">
        <v>57</v>
      </c>
      <c r="K13" s="7"/>
    </row>
    <row r="14" customFormat="false" ht="15" hidden="false" customHeight="true" outlineLevel="0" collapsed="false">
      <c r="A14" s="3" t="n">
        <v>46105</v>
      </c>
      <c r="B14" s="4" t="s">
        <v>58</v>
      </c>
      <c r="C14" s="4" t="s">
        <v>59</v>
      </c>
      <c r="D14" s="4" t="s">
        <v>21</v>
      </c>
      <c r="E14" s="9" t="n">
        <v>33.33</v>
      </c>
      <c r="F14" s="9" t="n">
        <v>6.67</v>
      </c>
      <c r="G14" s="9" t="n">
        <v>40</v>
      </c>
      <c r="H14" s="4" t="s">
        <v>15</v>
      </c>
      <c r="I14" s="4" t="s">
        <v>60</v>
      </c>
      <c r="J14" s="4" t="s">
        <v>17</v>
      </c>
      <c r="K14" s="4"/>
    </row>
    <row r="15" customFormat="false" ht="15" hidden="false" customHeight="true" outlineLevel="0" collapsed="false">
      <c r="A15" s="6" t="n">
        <v>46106</v>
      </c>
      <c r="B15" s="7" t="s">
        <v>30</v>
      </c>
      <c r="C15" s="7" t="s">
        <v>31</v>
      </c>
      <c r="D15" s="7" t="s">
        <v>21</v>
      </c>
      <c r="E15" s="8" t="n">
        <v>25</v>
      </c>
      <c r="F15" s="8" t="n">
        <v>5</v>
      </c>
      <c r="G15" s="8" t="n">
        <v>30</v>
      </c>
      <c r="H15" s="7" t="s">
        <v>26</v>
      </c>
      <c r="I15" s="7" t="s">
        <v>61</v>
      </c>
      <c r="J15" s="7" t="s">
        <v>33</v>
      </c>
      <c r="K15" s="7" t="s">
        <v>62</v>
      </c>
    </row>
    <row r="16" customFormat="false" ht="15" hidden="false" customHeight="true" outlineLevel="0" collapsed="false">
      <c r="A16" s="3" t="n">
        <v>46107</v>
      </c>
      <c r="B16" s="4" t="s">
        <v>63</v>
      </c>
      <c r="C16" s="4" t="s">
        <v>64</v>
      </c>
      <c r="D16" s="4" t="s">
        <v>21</v>
      </c>
      <c r="E16" s="9" t="n">
        <v>11</v>
      </c>
      <c r="F16" s="9" t="n">
        <v>2.2</v>
      </c>
      <c r="G16" s="9" t="n">
        <v>13.2</v>
      </c>
      <c r="H16" s="4" t="s">
        <v>26</v>
      </c>
      <c r="I16" s="4" t="s">
        <v>65</v>
      </c>
      <c r="J16" s="4" t="s">
        <v>66</v>
      </c>
      <c r="K16" s="4" t="s">
        <v>67</v>
      </c>
    </row>
    <row r="17" customFormat="false" ht="15" hidden="false" customHeight="true" outlineLevel="0" collapsed="false">
      <c r="A17" s="6" t="n">
        <v>46108</v>
      </c>
      <c r="B17" s="7" t="s">
        <v>68</v>
      </c>
      <c r="C17" s="7" t="s">
        <v>69</v>
      </c>
      <c r="D17" s="7" t="s">
        <v>13</v>
      </c>
      <c r="E17" s="10" t="s">
        <v>14</v>
      </c>
      <c r="F17" s="10" t="s">
        <v>14</v>
      </c>
      <c r="G17" s="10" t="s">
        <v>14</v>
      </c>
      <c r="H17" s="7" t="s">
        <v>15</v>
      </c>
      <c r="I17" s="7" t="s">
        <v>70</v>
      </c>
      <c r="J17" s="7" t="s">
        <v>71</v>
      </c>
      <c r="K17" s="7" t="s">
        <v>72</v>
      </c>
    </row>
    <row r="18" customFormat="false" ht="15" hidden="false" customHeight="true" outlineLevel="0" collapsed="false">
      <c r="A18" s="3" t="n">
        <v>46109</v>
      </c>
      <c r="B18" s="4" t="s">
        <v>30</v>
      </c>
      <c r="C18" s="4" t="s">
        <v>31</v>
      </c>
      <c r="D18" s="4" t="s">
        <v>21</v>
      </c>
      <c r="E18" s="9" t="n">
        <v>20</v>
      </c>
      <c r="F18" s="9" t="n">
        <v>4</v>
      </c>
      <c r="G18" s="9" t="n">
        <v>24</v>
      </c>
      <c r="H18" s="4" t="s">
        <v>26</v>
      </c>
      <c r="I18" s="4" t="s">
        <v>73</v>
      </c>
      <c r="J18" s="4" t="s">
        <v>33</v>
      </c>
      <c r="K18" s="4" t="s">
        <v>74</v>
      </c>
    </row>
    <row r="19" customFormat="false" ht="15" hidden="false" customHeight="true" outlineLevel="0" collapsed="false">
      <c r="A19" s="6" t="n">
        <v>46112</v>
      </c>
      <c r="B19" s="7" t="s">
        <v>30</v>
      </c>
      <c r="C19" s="7" t="s">
        <v>31</v>
      </c>
      <c r="D19" s="7" t="s">
        <v>21</v>
      </c>
      <c r="E19" s="8" t="n">
        <v>20</v>
      </c>
      <c r="F19" s="8" t="n">
        <v>4</v>
      </c>
      <c r="G19" s="8" t="n">
        <v>24</v>
      </c>
      <c r="H19" s="7" t="s">
        <v>26</v>
      </c>
      <c r="I19" s="7" t="s">
        <v>75</v>
      </c>
      <c r="J19" s="7" t="s">
        <v>33</v>
      </c>
      <c r="K19" s="7" t="s">
        <v>76</v>
      </c>
    </row>
    <row r="20" customFormat="false" ht="15" hidden="false" customHeight="true" outlineLevel="0" collapsed="false">
      <c r="A20" s="3" t="n">
        <v>46113</v>
      </c>
      <c r="B20" s="4" t="s">
        <v>77</v>
      </c>
      <c r="C20" s="4" t="s">
        <v>78</v>
      </c>
      <c r="D20" s="4" t="s">
        <v>49</v>
      </c>
      <c r="E20" s="5" t="s">
        <v>14</v>
      </c>
      <c r="F20" s="5" t="s">
        <v>14</v>
      </c>
      <c r="G20" s="5" t="s">
        <v>14</v>
      </c>
      <c r="H20" s="4" t="s">
        <v>15</v>
      </c>
      <c r="I20" s="4" t="s">
        <v>79</v>
      </c>
      <c r="J20" s="4" t="s">
        <v>71</v>
      </c>
      <c r="K20" s="4" t="s">
        <v>80</v>
      </c>
    </row>
    <row r="21" customFormat="false" ht="15" hidden="false" customHeight="true" outlineLevel="0" collapsed="false">
      <c r="A21" s="6" t="n">
        <v>46114</v>
      </c>
      <c r="B21" s="7" t="s">
        <v>47</v>
      </c>
      <c r="C21" s="7" t="s">
        <v>81</v>
      </c>
      <c r="D21" s="7" t="s">
        <v>49</v>
      </c>
      <c r="E21" s="10" t="s">
        <v>14</v>
      </c>
      <c r="F21" s="10" t="s">
        <v>14</v>
      </c>
      <c r="G21" s="10" t="s">
        <v>14</v>
      </c>
      <c r="H21" s="7" t="s">
        <v>15</v>
      </c>
      <c r="I21" s="7" t="s">
        <v>82</v>
      </c>
      <c r="J21" s="7" t="s">
        <v>17</v>
      </c>
      <c r="K21" s="7" t="s">
        <v>83</v>
      </c>
    </row>
    <row r="22" customFormat="false" ht="15" hidden="false" customHeight="true" outlineLevel="0" collapsed="false">
      <c r="A22" s="3" t="n">
        <v>46115</v>
      </c>
      <c r="B22" s="4" t="s">
        <v>30</v>
      </c>
      <c r="C22" s="4" t="s">
        <v>31</v>
      </c>
      <c r="D22" s="4" t="s">
        <v>21</v>
      </c>
      <c r="E22" s="9" t="n">
        <v>10</v>
      </c>
      <c r="F22" s="9" t="n">
        <v>2</v>
      </c>
      <c r="G22" s="9" t="n">
        <v>12</v>
      </c>
      <c r="H22" s="4" t="s">
        <v>26</v>
      </c>
      <c r="I22" s="4" t="s">
        <v>84</v>
      </c>
      <c r="J22" s="4" t="s">
        <v>33</v>
      </c>
      <c r="K22" s="4" t="s">
        <v>85</v>
      </c>
    </row>
    <row r="23" customFormat="false" ht="15" hidden="false" customHeight="true" outlineLevel="0" collapsed="false">
      <c r="A23" s="6" t="n">
        <v>46115</v>
      </c>
      <c r="B23" s="7" t="s">
        <v>86</v>
      </c>
      <c r="C23" s="7" t="s">
        <v>87</v>
      </c>
      <c r="D23" s="7" t="s">
        <v>21</v>
      </c>
      <c r="E23" s="8" t="n">
        <v>48</v>
      </c>
      <c r="F23" s="8" t="n">
        <v>0</v>
      </c>
      <c r="G23" s="8" t="n">
        <v>48</v>
      </c>
      <c r="H23" s="7" t="s">
        <v>26</v>
      </c>
      <c r="I23" s="7" t="s">
        <v>88</v>
      </c>
      <c r="J23" s="7" t="s">
        <v>66</v>
      </c>
      <c r="K23" s="7" t="s">
        <v>89</v>
      </c>
    </row>
    <row r="24" customFormat="false" ht="15" hidden="false" customHeight="true" outlineLevel="0" collapsed="false">
      <c r="A24" s="3" t="n">
        <v>46116</v>
      </c>
      <c r="B24" s="4" t="s">
        <v>30</v>
      </c>
      <c r="C24" s="4" t="s">
        <v>31</v>
      </c>
      <c r="D24" s="4" t="s">
        <v>21</v>
      </c>
      <c r="E24" s="9" t="n">
        <v>6</v>
      </c>
      <c r="F24" s="9" t="n">
        <v>1.2</v>
      </c>
      <c r="G24" s="9" t="n">
        <v>7.2</v>
      </c>
      <c r="H24" s="4" t="s">
        <v>26</v>
      </c>
      <c r="I24" s="4" t="s">
        <v>90</v>
      </c>
      <c r="J24" s="4" t="s">
        <v>33</v>
      </c>
      <c r="K24" s="4" t="s">
        <v>91</v>
      </c>
    </row>
    <row r="25" customFormat="false" ht="15" hidden="false" customHeight="true" outlineLevel="0" collapsed="false">
      <c r="A25" s="6" t="n">
        <v>46117</v>
      </c>
      <c r="B25" s="7" t="s">
        <v>30</v>
      </c>
      <c r="C25" s="7" t="s">
        <v>31</v>
      </c>
      <c r="D25" s="7" t="s">
        <v>21</v>
      </c>
      <c r="E25" s="8" t="n">
        <v>8</v>
      </c>
      <c r="F25" s="8" t="n">
        <v>1.6</v>
      </c>
      <c r="G25" s="8" t="n">
        <v>9.6</v>
      </c>
      <c r="H25" s="7" t="s">
        <v>26</v>
      </c>
      <c r="I25" s="7" t="s">
        <v>92</v>
      </c>
      <c r="J25" s="7" t="s">
        <v>33</v>
      </c>
      <c r="K25" s="7" t="s">
        <v>93</v>
      </c>
    </row>
    <row r="26" customFormat="false" ht="15" hidden="false" customHeight="true" outlineLevel="0" collapsed="false">
      <c r="A26" s="3" t="n">
        <v>46117</v>
      </c>
      <c r="B26" s="4" t="s">
        <v>94</v>
      </c>
      <c r="C26" s="4" t="s">
        <v>95</v>
      </c>
      <c r="D26" s="4" t="s">
        <v>25</v>
      </c>
      <c r="E26" s="9" t="n">
        <v>10.66</v>
      </c>
      <c r="F26" s="9" t="n">
        <v>0</v>
      </c>
      <c r="G26" s="9" t="n">
        <v>10.66</v>
      </c>
      <c r="H26" s="4" t="s">
        <v>26</v>
      </c>
      <c r="I26" s="4" t="s">
        <v>96</v>
      </c>
      <c r="J26" s="4" t="s">
        <v>97</v>
      </c>
      <c r="K26" s="4" t="s">
        <v>29</v>
      </c>
    </row>
    <row r="27" customFormat="false" ht="15" hidden="false" customHeight="true" outlineLevel="0" collapsed="false">
      <c r="A27" s="6" t="n">
        <v>46117</v>
      </c>
      <c r="B27" s="7" t="s">
        <v>98</v>
      </c>
      <c r="C27" s="7" t="s">
        <v>99</v>
      </c>
      <c r="D27" s="7" t="s">
        <v>21</v>
      </c>
      <c r="E27" s="8" t="n">
        <v>540</v>
      </c>
      <c r="F27" s="8" t="n">
        <v>0</v>
      </c>
      <c r="G27" s="8" t="n">
        <v>540</v>
      </c>
      <c r="H27" s="7" t="s">
        <v>26</v>
      </c>
      <c r="I27" s="7" t="s">
        <v>100</v>
      </c>
      <c r="J27" s="7" t="s">
        <v>17</v>
      </c>
      <c r="K27" s="7" t="s">
        <v>101</v>
      </c>
    </row>
    <row r="28" customFormat="false" ht="15" hidden="false" customHeight="true" outlineLevel="0" collapsed="false">
      <c r="A28" s="3" t="n">
        <v>46118</v>
      </c>
      <c r="B28" s="4" t="s">
        <v>30</v>
      </c>
      <c r="C28" s="4" t="s">
        <v>102</v>
      </c>
      <c r="D28" s="4" t="s">
        <v>21</v>
      </c>
      <c r="E28" s="9" t="n">
        <v>10</v>
      </c>
      <c r="F28" s="9" t="n">
        <v>2</v>
      </c>
      <c r="G28" s="9" t="n">
        <v>12</v>
      </c>
      <c r="H28" s="4" t="s">
        <v>26</v>
      </c>
      <c r="I28" s="4" t="s">
        <v>103</v>
      </c>
      <c r="J28" s="4" t="s">
        <v>33</v>
      </c>
      <c r="K28" s="4" t="s">
        <v>104</v>
      </c>
    </row>
    <row r="29" customFormat="false" ht="15" hidden="false" customHeight="true" outlineLevel="0" collapsed="false">
      <c r="A29" s="6" t="n">
        <v>46118</v>
      </c>
      <c r="B29" s="7" t="s">
        <v>105</v>
      </c>
      <c r="C29" s="7" t="s">
        <v>106</v>
      </c>
      <c r="D29" s="7" t="s">
        <v>21</v>
      </c>
      <c r="E29" s="8" t="n">
        <v>25</v>
      </c>
      <c r="F29" s="8" t="n">
        <v>0</v>
      </c>
      <c r="G29" s="8" t="n">
        <v>25</v>
      </c>
      <c r="H29" s="7" t="s">
        <v>26</v>
      </c>
      <c r="I29" s="7" t="s">
        <v>107</v>
      </c>
      <c r="J29" s="7" t="s">
        <v>66</v>
      </c>
      <c r="K29" s="7" t="s">
        <v>108</v>
      </c>
    </row>
    <row r="30" customFormat="false" ht="15" hidden="false" customHeight="true" outlineLevel="0" collapsed="false">
      <c r="A30" s="3" t="n">
        <v>46118</v>
      </c>
      <c r="B30" s="4" t="s">
        <v>30</v>
      </c>
      <c r="C30" s="4" t="s">
        <v>109</v>
      </c>
      <c r="D30" s="4" t="s">
        <v>21</v>
      </c>
      <c r="E30" s="9" t="n">
        <v>10.17</v>
      </c>
      <c r="F30" s="9" t="n">
        <v>2.03</v>
      </c>
      <c r="G30" s="9" t="n">
        <v>12.2</v>
      </c>
      <c r="H30" s="4" t="s">
        <v>15</v>
      </c>
      <c r="I30" s="4" t="s">
        <v>110</v>
      </c>
      <c r="J30" s="4" t="s">
        <v>33</v>
      </c>
      <c r="K30" s="4" t="s">
        <v>111</v>
      </c>
    </row>
    <row r="31" customFormat="false" ht="15" hidden="false" customHeight="true" outlineLevel="0" collapsed="false">
      <c r="A31" s="11" t="n">
        <v>46118</v>
      </c>
      <c r="B31" s="12" t="s">
        <v>30</v>
      </c>
      <c r="C31" s="12" t="s">
        <v>112</v>
      </c>
      <c r="D31" s="12" t="s">
        <v>21</v>
      </c>
      <c r="E31" s="13" t="n">
        <v>33.75</v>
      </c>
      <c r="F31" s="13" t="n">
        <v>6.75</v>
      </c>
      <c r="G31" s="13" t="n">
        <v>40.5</v>
      </c>
      <c r="H31" s="12" t="s">
        <v>15</v>
      </c>
      <c r="I31" s="12" t="s">
        <v>113</v>
      </c>
      <c r="J31" s="12" t="s">
        <v>33</v>
      </c>
      <c r="K31" s="12" t="s">
        <v>114</v>
      </c>
    </row>
    <row r="32" customFormat="false" ht="15" hidden="false" customHeight="true" outlineLevel="0" collapsed="false">
      <c r="A32" s="14" t="n">
        <v>46118</v>
      </c>
      <c r="B32" s="15" t="s">
        <v>30</v>
      </c>
      <c r="C32" s="15" t="s">
        <v>109</v>
      </c>
      <c r="D32" s="15" t="s">
        <v>21</v>
      </c>
      <c r="E32" s="16" t="n">
        <v>14.46</v>
      </c>
      <c r="F32" s="16" t="n">
        <v>2.89</v>
      </c>
      <c r="G32" s="16" t="n">
        <v>17.35</v>
      </c>
      <c r="H32" s="15" t="s">
        <v>15</v>
      </c>
      <c r="I32" s="15" t="s">
        <v>115</v>
      </c>
      <c r="J32" s="15" t="s">
        <v>33</v>
      </c>
      <c r="K32" s="15" t="s">
        <v>116</v>
      </c>
    </row>
    <row r="33" customFormat="false" ht="15" hidden="false" customHeight="true" outlineLevel="0" collapsed="false">
      <c r="A33" s="11" t="n">
        <v>46118</v>
      </c>
      <c r="B33" s="12" t="s">
        <v>30</v>
      </c>
      <c r="C33" s="12" t="s">
        <v>109</v>
      </c>
      <c r="D33" s="12" t="s">
        <v>21</v>
      </c>
      <c r="E33" s="13" t="n">
        <v>10.9</v>
      </c>
      <c r="F33" s="13" t="n">
        <v>2.18</v>
      </c>
      <c r="G33" s="13" t="n">
        <v>13.08</v>
      </c>
      <c r="H33" s="12" t="s">
        <v>15</v>
      </c>
      <c r="I33" s="12" t="s">
        <v>117</v>
      </c>
      <c r="J33" s="12" t="s">
        <v>33</v>
      </c>
      <c r="K33" s="12" t="s">
        <v>118</v>
      </c>
    </row>
    <row r="34" customFormat="false" ht="15" hidden="false" customHeight="true" outlineLevel="0" collapsed="false">
      <c r="A34" s="14" t="n">
        <v>46118</v>
      </c>
      <c r="B34" s="15" t="s">
        <v>30</v>
      </c>
      <c r="C34" s="15" t="s">
        <v>112</v>
      </c>
      <c r="D34" s="15" t="s">
        <v>21</v>
      </c>
      <c r="E34" s="16" t="n">
        <v>33.75</v>
      </c>
      <c r="F34" s="16" t="n">
        <v>6.75</v>
      </c>
      <c r="G34" s="16" t="n">
        <v>40.5</v>
      </c>
      <c r="H34" s="15" t="s">
        <v>15</v>
      </c>
      <c r="I34" s="15" t="s">
        <v>119</v>
      </c>
      <c r="J34" s="15" t="s">
        <v>33</v>
      </c>
      <c r="K34" s="15" t="s">
        <v>120</v>
      </c>
    </row>
    <row r="35" customFormat="false" ht="15" hidden="false" customHeight="true" outlineLevel="0" collapsed="false">
      <c r="A35" s="11" t="n">
        <v>46118</v>
      </c>
      <c r="B35" s="12" t="s">
        <v>30</v>
      </c>
      <c r="C35" s="12" t="s">
        <v>109</v>
      </c>
      <c r="D35" s="12" t="s">
        <v>21</v>
      </c>
      <c r="E35" s="13" t="n">
        <v>14.99</v>
      </c>
      <c r="F35" s="13" t="n">
        <v>3</v>
      </c>
      <c r="G35" s="13" t="n">
        <v>17.99</v>
      </c>
      <c r="H35" s="12" t="s">
        <v>15</v>
      </c>
      <c r="I35" s="12" t="s">
        <v>121</v>
      </c>
      <c r="J35" s="12" t="s">
        <v>33</v>
      </c>
      <c r="K35" s="12" t="s">
        <v>122</v>
      </c>
    </row>
    <row r="36" customFormat="false" ht="15" hidden="false" customHeight="true" outlineLevel="0" collapsed="false">
      <c r="A36" s="14" t="n">
        <v>46118</v>
      </c>
      <c r="B36" s="15" t="s">
        <v>30</v>
      </c>
      <c r="C36" s="15" t="s">
        <v>112</v>
      </c>
      <c r="D36" s="15" t="s">
        <v>21</v>
      </c>
      <c r="E36" s="16" t="n">
        <v>5</v>
      </c>
      <c r="F36" s="16" t="n">
        <v>1</v>
      </c>
      <c r="G36" s="16" t="n">
        <v>6</v>
      </c>
      <c r="H36" s="15" t="s">
        <v>15</v>
      </c>
      <c r="I36" s="15" t="s">
        <v>123</v>
      </c>
      <c r="J36" s="15" t="s">
        <v>33</v>
      </c>
      <c r="K36" s="15" t="s">
        <v>124</v>
      </c>
    </row>
    <row r="37" customFormat="false" ht="15" hidden="false" customHeight="true" outlineLevel="0" collapsed="false">
      <c r="A37" s="11" t="n">
        <v>46118</v>
      </c>
      <c r="B37" s="12" t="s">
        <v>30</v>
      </c>
      <c r="C37" s="12" t="s">
        <v>109</v>
      </c>
      <c r="D37" s="12" t="s">
        <v>21</v>
      </c>
      <c r="E37" s="13" t="n">
        <v>10.41</v>
      </c>
      <c r="F37" s="13" t="n">
        <v>2.08</v>
      </c>
      <c r="G37" s="13" t="n">
        <v>12.49</v>
      </c>
      <c r="H37" s="12" t="s">
        <v>15</v>
      </c>
      <c r="I37" s="12" t="s">
        <v>125</v>
      </c>
      <c r="J37" s="12" t="s">
        <v>33</v>
      </c>
      <c r="K37" s="12" t="s">
        <v>126</v>
      </c>
    </row>
    <row r="38" customFormat="false" ht="15" hidden="false" customHeight="true" outlineLevel="0" collapsed="false">
      <c r="A38" s="14" t="n">
        <v>46118</v>
      </c>
      <c r="B38" s="15" t="s">
        <v>30</v>
      </c>
      <c r="C38" s="15" t="s">
        <v>109</v>
      </c>
      <c r="D38" s="15" t="s">
        <v>21</v>
      </c>
      <c r="E38" s="16" t="n">
        <v>13.61</v>
      </c>
      <c r="F38" s="16" t="n">
        <v>2.72</v>
      </c>
      <c r="G38" s="16" t="n">
        <v>16.33</v>
      </c>
      <c r="H38" s="15" t="s">
        <v>15</v>
      </c>
      <c r="I38" s="15" t="s">
        <v>127</v>
      </c>
      <c r="J38" s="15" t="s">
        <v>33</v>
      </c>
      <c r="K38" s="15" t="s">
        <v>128</v>
      </c>
    </row>
    <row r="39" customFormat="false" ht="15" hidden="false" customHeight="true" outlineLevel="0" collapsed="false">
      <c r="A39" s="11" t="n">
        <v>46118</v>
      </c>
      <c r="B39" s="12" t="s">
        <v>30</v>
      </c>
      <c r="C39" s="12" t="s">
        <v>109</v>
      </c>
      <c r="D39" s="12" t="s">
        <v>21</v>
      </c>
      <c r="E39" s="13" t="n">
        <v>10.23</v>
      </c>
      <c r="F39" s="13" t="n">
        <v>2.05</v>
      </c>
      <c r="G39" s="13" t="n">
        <v>12.28</v>
      </c>
      <c r="H39" s="12" t="s">
        <v>15</v>
      </c>
      <c r="I39" s="12" t="s">
        <v>129</v>
      </c>
      <c r="J39" s="12" t="s">
        <v>33</v>
      </c>
      <c r="K39" s="12" t="s">
        <v>130</v>
      </c>
    </row>
    <row r="40" customFormat="false" ht="15" hidden="false" customHeight="true" outlineLevel="0" collapsed="false">
      <c r="A40" s="14" t="n">
        <v>46118</v>
      </c>
      <c r="B40" s="15" t="s">
        <v>30</v>
      </c>
      <c r="C40" s="15" t="s">
        <v>109</v>
      </c>
      <c r="D40" s="15" t="s">
        <v>21</v>
      </c>
      <c r="E40" s="16" t="n">
        <v>10.12</v>
      </c>
      <c r="F40" s="16" t="n">
        <v>2.02</v>
      </c>
      <c r="G40" s="16" t="n">
        <v>12.14</v>
      </c>
      <c r="H40" s="15" t="s">
        <v>15</v>
      </c>
      <c r="I40" s="15" t="s">
        <v>131</v>
      </c>
      <c r="J40" s="15" t="s">
        <v>33</v>
      </c>
      <c r="K40" s="15" t="s">
        <v>132</v>
      </c>
    </row>
    <row r="41" customFormat="false" ht="15" hidden="false" customHeight="true" outlineLevel="0" collapsed="false">
      <c r="A41" s="11" t="n">
        <v>46118</v>
      </c>
      <c r="B41" s="12" t="s">
        <v>30</v>
      </c>
      <c r="C41" s="12" t="s">
        <v>109</v>
      </c>
      <c r="D41" s="12" t="s">
        <v>21</v>
      </c>
      <c r="E41" s="13" t="n">
        <v>10.2</v>
      </c>
      <c r="F41" s="13" t="n">
        <v>2.04</v>
      </c>
      <c r="G41" s="13" t="n">
        <v>12.24</v>
      </c>
      <c r="H41" s="12" t="s">
        <v>15</v>
      </c>
      <c r="I41" s="12" t="s">
        <v>133</v>
      </c>
      <c r="J41" s="12" t="s">
        <v>33</v>
      </c>
      <c r="K41" s="12" t="s">
        <v>134</v>
      </c>
    </row>
    <row r="42" customFormat="false" ht="15" hidden="false" customHeight="true" outlineLevel="0" collapsed="false">
      <c r="A42" s="14" t="n">
        <v>46118</v>
      </c>
      <c r="B42" s="15" t="s">
        <v>30</v>
      </c>
      <c r="C42" s="15" t="s">
        <v>109</v>
      </c>
      <c r="D42" s="15" t="s">
        <v>21</v>
      </c>
      <c r="E42" s="16" t="n">
        <v>10.37</v>
      </c>
      <c r="F42" s="16" t="n">
        <v>2.07</v>
      </c>
      <c r="G42" s="16" t="n">
        <v>12.44</v>
      </c>
      <c r="H42" s="15" t="s">
        <v>15</v>
      </c>
      <c r="I42" s="15" t="s">
        <v>135</v>
      </c>
      <c r="J42" s="15" t="s">
        <v>33</v>
      </c>
      <c r="K42" s="15" t="s">
        <v>136</v>
      </c>
    </row>
    <row r="43" customFormat="false" ht="15" hidden="false" customHeight="true" outlineLevel="0" collapsed="false">
      <c r="A43" s="11" t="n">
        <v>46118</v>
      </c>
      <c r="B43" s="12" t="s">
        <v>30</v>
      </c>
      <c r="C43" s="12" t="s">
        <v>109</v>
      </c>
      <c r="D43" s="12" t="s">
        <v>21</v>
      </c>
      <c r="E43" s="13" t="n">
        <v>11.19</v>
      </c>
      <c r="F43" s="13" t="n">
        <v>2.24</v>
      </c>
      <c r="G43" s="13" t="n">
        <v>13.43</v>
      </c>
      <c r="H43" s="12" t="s">
        <v>15</v>
      </c>
      <c r="I43" s="12" t="s">
        <v>137</v>
      </c>
      <c r="J43" s="12" t="s">
        <v>33</v>
      </c>
      <c r="K43" s="12" t="s">
        <v>138</v>
      </c>
    </row>
    <row r="44" customFormat="false" ht="15" hidden="false" customHeight="true" outlineLevel="0" collapsed="false">
      <c r="A44" s="14" t="n">
        <v>46118</v>
      </c>
      <c r="B44" s="15" t="s">
        <v>30</v>
      </c>
      <c r="C44" s="15" t="s">
        <v>139</v>
      </c>
      <c r="D44" s="15" t="s">
        <v>21</v>
      </c>
      <c r="E44" s="16" t="n">
        <v>13.65</v>
      </c>
      <c r="F44" s="16" t="n">
        <v>2.73</v>
      </c>
      <c r="G44" s="16" t="n">
        <v>16.38</v>
      </c>
      <c r="H44" s="15" t="s">
        <v>26</v>
      </c>
      <c r="I44" s="15" t="s">
        <v>140</v>
      </c>
      <c r="J44" s="15" t="s">
        <v>33</v>
      </c>
      <c r="K44" s="15" t="s">
        <v>141</v>
      </c>
    </row>
    <row r="45" customFormat="false" ht="15" hidden="false" customHeight="true" outlineLevel="0" collapsed="false">
      <c r="A45" s="11" t="n">
        <v>46119</v>
      </c>
      <c r="B45" s="12" t="s">
        <v>30</v>
      </c>
      <c r="C45" s="12" t="s">
        <v>112</v>
      </c>
      <c r="D45" s="12" t="s">
        <v>21</v>
      </c>
      <c r="E45" s="13" t="n">
        <v>8</v>
      </c>
      <c r="F45" s="13" t="n">
        <v>1.6</v>
      </c>
      <c r="G45" s="13" t="n">
        <v>9.6</v>
      </c>
      <c r="H45" s="12" t="s">
        <v>15</v>
      </c>
      <c r="I45" s="12" t="s">
        <v>142</v>
      </c>
      <c r="J45" s="12" t="s">
        <v>33</v>
      </c>
      <c r="K45" s="12" t="s">
        <v>143</v>
      </c>
    </row>
    <row r="46" customFormat="false" ht="15" hidden="false" customHeight="true" outlineLevel="0" collapsed="false">
      <c r="A46" s="14" t="n">
        <v>46119</v>
      </c>
      <c r="B46" s="15" t="s">
        <v>30</v>
      </c>
      <c r="C46" s="15" t="s">
        <v>112</v>
      </c>
      <c r="D46" s="15" t="s">
        <v>21</v>
      </c>
      <c r="E46" s="16" t="n">
        <v>8</v>
      </c>
      <c r="F46" s="16" t="n">
        <v>1.6</v>
      </c>
      <c r="G46" s="16" t="n">
        <v>9.6</v>
      </c>
      <c r="H46" s="15" t="s">
        <v>15</v>
      </c>
      <c r="I46" s="15" t="s">
        <v>144</v>
      </c>
      <c r="J46" s="15" t="s">
        <v>33</v>
      </c>
      <c r="K46" s="15" t="s">
        <v>145</v>
      </c>
    </row>
    <row r="47" customFormat="false" ht="15" hidden="false" customHeight="true" outlineLevel="0" collapsed="false">
      <c r="A47" s="11" t="n">
        <v>46120</v>
      </c>
      <c r="B47" s="12" t="s">
        <v>105</v>
      </c>
      <c r="C47" s="12" t="s">
        <v>146</v>
      </c>
      <c r="D47" s="12" t="s">
        <v>21</v>
      </c>
      <c r="E47" s="13" t="n">
        <v>99.99</v>
      </c>
      <c r="F47" s="13" t="n">
        <v>20</v>
      </c>
      <c r="G47" s="13" t="n">
        <v>119.99</v>
      </c>
      <c r="H47" s="12" t="s">
        <v>15</v>
      </c>
      <c r="I47" s="12" t="s">
        <v>147</v>
      </c>
      <c r="J47" s="12" t="s">
        <v>66</v>
      </c>
      <c r="K47" s="12" t="s">
        <v>148</v>
      </c>
    </row>
    <row r="48" customFormat="false" ht="15" hidden="false" customHeight="true" outlineLevel="0" collapsed="false">
      <c r="A48" s="14" t="n">
        <v>46120</v>
      </c>
      <c r="B48" s="15" t="s">
        <v>149</v>
      </c>
      <c r="C48" s="15" t="s">
        <v>150</v>
      </c>
      <c r="D48" s="15" t="s">
        <v>21</v>
      </c>
      <c r="E48" s="16" t="n">
        <v>144</v>
      </c>
      <c r="F48" s="16" t="n">
        <v>0</v>
      </c>
      <c r="G48" s="16" t="n">
        <v>144</v>
      </c>
      <c r="H48" s="15" t="s">
        <v>15</v>
      </c>
      <c r="I48" s="15" t="s">
        <v>151</v>
      </c>
      <c r="J48" s="15" t="s">
        <v>66</v>
      </c>
      <c r="K48" s="15" t="s">
        <v>152</v>
      </c>
    </row>
    <row r="49" customFormat="false" ht="15" hidden="false" customHeight="true" outlineLevel="0" collapsed="false">
      <c r="A49" s="11" t="n">
        <v>46121</v>
      </c>
      <c r="B49" s="12" t="s">
        <v>30</v>
      </c>
      <c r="C49" s="12" t="s">
        <v>112</v>
      </c>
      <c r="D49" s="12" t="s">
        <v>21</v>
      </c>
      <c r="E49" s="13" t="n">
        <v>10</v>
      </c>
      <c r="F49" s="13" t="n">
        <v>2</v>
      </c>
      <c r="G49" s="13" t="n">
        <v>12</v>
      </c>
      <c r="H49" s="12" t="s">
        <v>15</v>
      </c>
      <c r="I49" s="12" t="s">
        <v>153</v>
      </c>
      <c r="J49" s="12" t="s">
        <v>33</v>
      </c>
      <c r="K49" s="12" t="s">
        <v>154</v>
      </c>
    </row>
    <row r="50" customFormat="false" ht="15" hidden="false" customHeight="true" outlineLevel="0" collapsed="false">
      <c r="A50" s="14" t="n">
        <v>46121</v>
      </c>
      <c r="B50" s="15" t="s">
        <v>30</v>
      </c>
      <c r="C50" s="15" t="s">
        <v>112</v>
      </c>
      <c r="D50" s="15" t="s">
        <v>21</v>
      </c>
      <c r="E50" s="16" t="n">
        <v>8</v>
      </c>
      <c r="F50" s="16" t="n">
        <v>1.6</v>
      </c>
      <c r="G50" s="16" t="n">
        <v>9.6</v>
      </c>
      <c r="H50" s="15" t="s">
        <v>15</v>
      </c>
      <c r="I50" s="15" t="s">
        <v>155</v>
      </c>
      <c r="J50" s="15" t="s">
        <v>33</v>
      </c>
      <c r="K50" s="15" t="s">
        <v>156</v>
      </c>
    </row>
    <row r="51" customFormat="false" ht="15" hidden="false" customHeight="true" outlineLevel="0" collapsed="false">
      <c r="A51" s="11" t="n">
        <v>46123</v>
      </c>
      <c r="B51" s="12" t="s">
        <v>30</v>
      </c>
      <c r="C51" s="12" t="s">
        <v>157</v>
      </c>
      <c r="D51" s="12" t="s">
        <v>21</v>
      </c>
      <c r="E51" s="13" t="n">
        <v>20</v>
      </c>
      <c r="F51" s="13" t="n">
        <v>4</v>
      </c>
      <c r="G51" s="13" t="n">
        <v>24</v>
      </c>
      <c r="H51" s="12" t="s">
        <v>26</v>
      </c>
      <c r="I51" s="12" t="s">
        <v>158</v>
      </c>
      <c r="J51" s="12" t="s">
        <v>33</v>
      </c>
      <c r="K51" s="12" t="s">
        <v>159</v>
      </c>
    </row>
    <row r="52" customFormat="false" ht="15" hidden="false" customHeight="true" outlineLevel="0" collapsed="false">
      <c r="A52" s="12"/>
      <c r="B52" s="12"/>
      <c r="C52" s="12"/>
      <c r="D52" s="17" t="s">
        <v>160</v>
      </c>
      <c r="E52" s="18" t="n">
        <f aca="false">SUM(E2:E51)</f>
        <v>1575.77</v>
      </c>
      <c r="F52" s="18" t="n">
        <f aca="false">SUM(F2:F51)</f>
        <v>156.61</v>
      </c>
      <c r="G52" s="18" t="n">
        <f aca="false">SUM(G2:G51)</f>
        <v>1732.38</v>
      </c>
      <c r="H52" s="12"/>
      <c r="I52" s="12"/>
      <c r="J52" s="12"/>
      <c r="K5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14" min="2" style="1" width="12"/>
  </cols>
  <sheetData>
    <row r="1" customFormat="false" ht="17.25" hidden="false" customHeight="true" outlineLevel="0" collapsed="false">
      <c r="A1" s="19" t="s">
        <v>161</v>
      </c>
    </row>
    <row r="3" customFormat="false" ht="15" hidden="false" customHeight="true" outlineLevel="0" collapsed="false">
      <c r="A3" s="20" t="s">
        <v>162</v>
      </c>
    </row>
    <row r="4" customFormat="false" ht="15" hidden="false" customHeight="true" outlineLevel="0" collapsed="false">
      <c r="A4" s="21" t="s">
        <v>3</v>
      </c>
      <c r="B4" s="21" t="s">
        <v>163</v>
      </c>
      <c r="C4" s="21" t="s">
        <v>164</v>
      </c>
      <c r="D4" s="21" t="s">
        <v>165</v>
      </c>
      <c r="E4" s="21" t="s">
        <v>166</v>
      </c>
      <c r="F4" s="22" t="s">
        <v>167</v>
      </c>
      <c r="G4" s="22" t="s">
        <v>168</v>
      </c>
      <c r="H4" s="22" t="s">
        <v>169</v>
      </c>
      <c r="I4" s="22" t="s">
        <v>170</v>
      </c>
      <c r="J4" s="22" t="s">
        <v>171</v>
      </c>
      <c r="K4" s="22" t="s">
        <v>172</v>
      </c>
      <c r="L4" s="22" t="s">
        <v>173</v>
      </c>
      <c r="M4" s="22" t="s">
        <v>174</v>
      </c>
      <c r="N4" s="22" t="s">
        <v>175</v>
      </c>
    </row>
    <row r="5" customFormat="false" ht="15" hidden="false" customHeight="true" outlineLevel="0" collapsed="false">
      <c r="A5" s="23" t="s">
        <v>21</v>
      </c>
      <c r="B5" s="24" t="n">
        <f aca="false">SUMPRODUCT((IF(ISNUMBER(Expenses!$G$2:$G$100),Expenses!$G$2:$G$100,0))*(IF(ISNUMBER(Expenses!$A$2:$A$100),MONTH(Expenses!$A$2:$A$100),13)=1)*(Expenses!$D$2:$D$100="Software &amp; SaaS"))</f>
        <v>0</v>
      </c>
      <c r="C5" s="25" t="n">
        <f aca="false">SUMPRODUCT((IF(ISNUMBER(Expenses!$G$2:$G$100),Expenses!$G$2:$G$100,0))*(IF(ISNUMBER(Expenses!$A$2:$A$100),MONTH(Expenses!$A$2:$A$100),13)=2)*(Expenses!$D$2:$D$100="Software &amp; SaaS"))</f>
        <v>0</v>
      </c>
      <c r="D5" s="25" t="n">
        <f aca="false">SUMPRODUCT((IF(ISNUMBER(Expenses!$G$2:$G$100),Expenses!$G$2:$G$100,0))*(IF(ISNUMBER(Expenses!$A$2:$A$100),MONTH(Expenses!$A$2:$A$100),13)=3)*(Expenses!$D$2:$D$100="Software &amp; SaaS"))</f>
        <v>398.78</v>
      </c>
      <c r="E5" s="25" t="n">
        <f aca="false">SUMPRODUCT((IF(ISNUMBER(Expenses!$G$2:$G$100),Expenses!$G$2:$G$100,0))*(IF(ISNUMBER(Expenses!$A$2:$A$100),MONTH(Expenses!$A$2:$A$100),13)=4)*(Expenses!$D$2:$D$100="Software &amp; SaaS"))</f>
        <v>1237.94</v>
      </c>
      <c r="F5" s="26" t="n">
        <f aca="false">SUMPRODUCT((IF(ISNUMBER(Expenses!$G$2:$G$100),Expenses!$G$2:$G$100,0))*(IF(ISNUMBER(Expenses!$A$2:$A$100),MONTH(Expenses!$A$2:$A$100),13)=5)*(Expenses!$D$2:$D$100="Software &amp; SaaS"))</f>
        <v>0</v>
      </c>
      <c r="G5" s="26" t="n">
        <f aca="false">SUMPRODUCT((IF(ISNUMBER(Expenses!$G$2:$G$100),Expenses!$G$2:$G$100,0))*(IF(ISNUMBER(Expenses!$A$2:$A$100),MONTH(Expenses!$A$2:$A$100),13)=6)*(Expenses!$D$2:$D$100="Software &amp; SaaS"))</f>
        <v>0</v>
      </c>
      <c r="H5" s="26" t="n">
        <f aca="false">SUMPRODUCT((IF(ISNUMBER(Expenses!$G$2:$G$100),Expenses!$G$2:$G$100,0))*(IF(ISNUMBER(Expenses!$A$2:$A$100),MONTH(Expenses!$A$2:$A$100),13)=7)*(Expenses!$D$2:$D$100="Software &amp; SaaS"))</f>
        <v>0</v>
      </c>
      <c r="I5" s="26" t="n">
        <f aca="false">SUMPRODUCT((IF(ISNUMBER(Expenses!$G$2:$G$100),Expenses!$G$2:$G$100,0))*(IF(ISNUMBER(Expenses!$A$2:$A$100),MONTH(Expenses!$A$2:$A$100),13)=8)*(Expenses!$D$2:$D$100="Software &amp; SaaS"))</f>
        <v>0</v>
      </c>
      <c r="J5" s="26" t="n">
        <f aca="false">SUMPRODUCT((IF(ISNUMBER(Expenses!$G$2:$G$100),Expenses!$G$2:$G$100,0))*(IF(ISNUMBER(Expenses!$A$2:$A$100),MONTH(Expenses!$A$2:$A$100),13)=9)*(Expenses!$D$2:$D$100="Software &amp; SaaS"))</f>
        <v>0</v>
      </c>
      <c r="K5" s="26" t="n">
        <f aca="false">SUMPRODUCT((IF(ISNUMBER(Expenses!$G$2:$G$100),Expenses!$G$2:$G$100,0))*(IF(ISNUMBER(Expenses!$A$2:$A$100),MONTH(Expenses!$A$2:$A$100),13)=10)*(Expenses!$D$2:$D$100="Software &amp; SaaS"))</f>
        <v>0</v>
      </c>
      <c r="L5" s="26" t="n">
        <f aca="false">SUMPRODUCT((IF(ISNUMBER(Expenses!$G$2:$G$100),Expenses!$G$2:$G$100,0))*(IF(ISNUMBER(Expenses!$A$2:$A$100),MONTH(Expenses!$A$2:$A$100),13)=11)*(Expenses!$D$2:$D$100="Software &amp; SaaS"))</f>
        <v>0</v>
      </c>
      <c r="M5" s="26" t="n">
        <f aca="false">SUMPRODUCT((IF(ISNUMBER(Expenses!$G$2:$G$100),Expenses!$G$2:$G$100,0))*(IF(ISNUMBER(Expenses!$A$2:$A$100),MONTH(Expenses!$A$2:$A$100),13)=12)*(Expenses!$D$2:$D$100="Software &amp; SaaS"))</f>
        <v>0</v>
      </c>
      <c r="N5" s="18" t="n">
        <f aca="false">SUM(B5:M5)</f>
        <v>1636.72</v>
      </c>
    </row>
    <row r="6" customFormat="false" ht="15" hidden="false" customHeight="true" outlineLevel="0" collapsed="false">
      <c r="A6" s="23" t="s">
        <v>49</v>
      </c>
      <c r="B6" s="24" t="n">
        <f aca="false">SUMPRODUCT((IF(ISNUMBER(Expenses!$G$2:$G$100),Expenses!$G$2:$G$100,0))*(IF(ISNUMBER(Expenses!$A$2:$A$100),MONTH(Expenses!$A$2:$A$100),13)=1)*(Expenses!$D$2:$D$100="Advertising"))</f>
        <v>0</v>
      </c>
      <c r="C6" s="25" t="n">
        <f aca="false">SUMPRODUCT((IF(ISNUMBER(Expenses!$G$2:$G$100),Expenses!$G$2:$G$100,0))*(IF(ISNUMBER(Expenses!$A$2:$A$100),MONTH(Expenses!$A$2:$A$100),13)=2)*(Expenses!$D$2:$D$100="Advertising"))</f>
        <v>0</v>
      </c>
      <c r="D6" s="25" t="n">
        <f aca="false">SUMPRODUCT((IF(ISNUMBER(Expenses!$G$2:$G$100),Expenses!$G$2:$G$100,0))*(IF(ISNUMBER(Expenses!$A$2:$A$100),MONTH(Expenses!$A$2:$A$100),13)=3)*(Expenses!$D$2:$D$100="Advertising"))</f>
        <v>40</v>
      </c>
      <c r="E6" s="25" t="n">
        <f aca="false">SUMPRODUCT((IF(ISNUMBER(Expenses!$G$2:$G$100),Expenses!$G$2:$G$100,0))*(IF(ISNUMBER(Expenses!$A$2:$A$100),MONTH(Expenses!$A$2:$A$100),13)=4)*(Expenses!$D$2:$D$100="Advertising"))</f>
        <v>0</v>
      </c>
      <c r="F6" s="26" t="n">
        <f aca="false">SUMPRODUCT((IF(ISNUMBER(Expenses!$G$2:$G$100),Expenses!$G$2:$G$100,0))*(IF(ISNUMBER(Expenses!$A$2:$A$100),MONTH(Expenses!$A$2:$A$100),13)=5)*(Expenses!$D$2:$D$100="Advertising"))</f>
        <v>0</v>
      </c>
      <c r="G6" s="26" t="n">
        <f aca="false">SUMPRODUCT((IF(ISNUMBER(Expenses!$G$2:$G$100),Expenses!$G$2:$G$100,0))*(IF(ISNUMBER(Expenses!$A$2:$A$100),MONTH(Expenses!$A$2:$A$100),13)=6)*(Expenses!$D$2:$D$100="Advertising"))</f>
        <v>0</v>
      </c>
      <c r="H6" s="26" t="n">
        <f aca="false">SUMPRODUCT((IF(ISNUMBER(Expenses!$G$2:$G$100),Expenses!$G$2:$G$100,0))*(IF(ISNUMBER(Expenses!$A$2:$A$100),MONTH(Expenses!$A$2:$A$100),13)=7)*(Expenses!$D$2:$D$100="Advertising"))</f>
        <v>0</v>
      </c>
      <c r="I6" s="26" t="n">
        <f aca="false">SUMPRODUCT((IF(ISNUMBER(Expenses!$G$2:$G$100),Expenses!$G$2:$G$100,0))*(IF(ISNUMBER(Expenses!$A$2:$A$100),MONTH(Expenses!$A$2:$A$100),13)=8)*(Expenses!$D$2:$D$100="Advertising"))</f>
        <v>0</v>
      </c>
      <c r="J6" s="26" t="n">
        <f aca="false">SUMPRODUCT((IF(ISNUMBER(Expenses!$G$2:$G$100),Expenses!$G$2:$G$100,0))*(IF(ISNUMBER(Expenses!$A$2:$A$100),MONTH(Expenses!$A$2:$A$100),13)=9)*(Expenses!$D$2:$D$100="Advertising"))</f>
        <v>0</v>
      </c>
      <c r="K6" s="26" t="n">
        <f aca="false">SUMPRODUCT((IF(ISNUMBER(Expenses!$G$2:$G$100),Expenses!$G$2:$G$100,0))*(IF(ISNUMBER(Expenses!$A$2:$A$100),MONTH(Expenses!$A$2:$A$100),13)=10)*(Expenses!$D$2:$D$100="Advertising"))</f>
        <v>0</v>
      </c>
      <c r="L6" s="26" t="n">
        <f aca="false">SUMPRODUCT((IF(ISNUMBER(Expenses!$G$2:$G$100),Expenses!$G$2:$G$100,0))*(IF(ISNUMBER(Expenses!$A$2:$A$100),MONTH(Expenses!$A$2:$A$100),13)=11)*(Expenses!$D$2:$D$100="Advertising"))</f>
        <v>0</v>
      </c>
      <c r="M6" s="26" t="n">
        <f aca="false">SUMPRODUCT((IF(ISNUMBER(Expenses!$G$2:$G$100),Expenses!$G$2:$G$100,0))*(IF(ISNUMBER(Expenses!$A$2:$A$100),MONTH(Expenses!$A$2:$A$100),13)=12)*(Expenses!$D$2:$D$100="Advertising"))</f>
        <v>0</v>
      </c>
      <c r="N6" s="18" t="n">
        <f aca="false">SUM(B6:M6)</f>
        <v>40</v>
      </c>
    </row>
    <row r="7" customFormat="false" ht="15" hidden="false" customHeight="true" outlineLevel="0" collapsed="false">
      <c r="A7" s="23" t="s">
        <v>25</v>
      </c>
      <c r="B7" s="24" t="n">
        <f aca="false">SUMPRODUCT((IF(ISNUMBER(Expenses!$G$2:$G$100),Expenses!$G$2:$G$100,0))*(IF(ISNUMBER(Expenses!$A$2:$A$100),MONTH(Expenses!$A$2:$A$100),13)=1)*(Expenses!$D$2:$D$100="Hosting &amp; Infrastructure"))</f>
        <v>0</v>
      </c>
      <c r="C7" s="25" t="n">
        <f aca="false">SUMPRODUCT((IF(ISNUMBER(Expenses!$G$2:$G$100),Expenses!$G$2:$G$100,0))*(IF(ISNUMBER(Expenses!$A$2:$A$100),MONTH(Expenses!$A$2:$A$100),13)=2)*(Expenses!$D$2:$D$100="Hosting &amp; Infrastructure"))</f>
        <v>0</v>
      </c>
      <c r="D7" s="25" t="n">
        <f aca="false">SUMPRODUCT((IF(ISNUMBER(Expenses!$G$2:$G$100),Expenses!$G$2:$G$100,0))*(IF(ISNUMBER(Expenses!$A$2:$A$100),MONTH(Expenses!$A$2:$A$100),13)=3)*(Expenses!$D$2:$D$100="Hosting &amp; Infrastructure"))</f>
        <v>45</v>
      </c>
      <c r="E7" s="25" t="n">
        <f aca="false">SUMPRODUCT((IF(ISNUMBER(Expenses!$G$2:$G$100),Expenses!$G$2:$G$100,0))*(IF(ISNUMBER(Expenses!$A$2:$A$100),MONTH(Expenses!$A$2:$A$100),13)=4)*(Expenses!$D$2:$D$100="Hosting &amp; Infrastructure"))</f>
        <v>10.66</v>
      </c>
      <c r="F7" s="26" t="n">
        <f aca="false">SUMPRODUCT((IF(ISNUMBER(Expenses!$G$2:$G$100),Expenses!$G$2:$G$100,0))*(IF(ISNUMBER(Expenses!$A$2:$A$100),MONTH(Expenses!$A$2:$A$100),13)=5)*(Expenses!$D$2:$D$100="Hosting &amp; Infrastructure"))</f>
        <v>0</v>
      </c>
      <c r="G7" s="26" t="n">
        <f aca="false">SUMPRODUCT((IF(ISNUMBER(Expenses!$G$2:$G$100),Expenses!$G$2:$G$100,0))*(IF(ISNUMBER(Expenses!$A$2:$A$100),MONTH(Expenses!$A$2:$A$100),13)=6)*(Expenses!$D$2:$D$100="Hosting &amp; Infrastructure"))</f>
        <v>0</v>
      </c>
      <c r="H7" s="26" t="n">
        <f aca="false">SUMPRODUCT((IF(ISNUMBER(Expenses!$G$2:$G$100),Expenses!$G$2:$G$100,0))*(IF(ISNUMBER(Expenses!$A$2:$A$100),MONTH(Expenses!$A$2:$A$100),13)=7)*(Expenses!$D$2:$D$100="Hosting &amp; Infrastructure"))</f>
        <v>0</v>
      </c>
      <c r="I7" s="26" t="n">
        <f aca="false">SUMPRODUCT((IF(ISNUMBER(Expenses!$G$2:$G$100),Expenses!$G$2:$G$100,0))*(IF(ISNUMBER(Expenses!$A$2:$A$100),MONTH(Expenses!$A$2:$A$100),13)=8)*(Expenses!$D$2:$D$100="Hosting &amp; Infrastructure"))</f>
        <v>0</v>
      </c>
      <c r="J7" s="26" t="n">
        <f aca="false">SUMPRODUCT((IF(ISNUMBER(Expenses!$G$2:$G$100),Expenses!$G$2:$G$100,0))*(IF(ISNUMBER(Expenses!$A$2:$A$100),MONTH(Expenses!$A$2:$A$100),13)=9)*(Expenses!$D$2:$D$100="Hosting &amp; Infrastructure"))</f>
        <v>0</v>
      </c>
      <c r="K7" s="26" t="n">
        <f aca="false">SUMPRODUCT((IF(ISNUMBER(Expenses!$G$2:$G$100),Expenses!$G$2:$G$100,0))*(IF(ISNUMBER(Expenses!$A$2:$A$100),MONTH(Expenses!$A$2:$A$100),13)=10)*(Expenses!$D$2:$D$100="Hosting &amp; Infrastructure"))</f>
        <v>0</v>
      </c>
      <c r="L7" s="26" t="n">
        <f aca="false">SUMPRODUCT((IF(ISNUMBER(Expenses!$G$2:$G$100),Expenses!$G$2:$G$100,0))*(IF(ISNUMBER(Expenses!$A$2:$A$100),MONTH(Expenses!$A$2:$A$100),13)=11)*(Expenses!$D$2:$D$100="Hosting &amp; Infrastructure"))</f>
        <v>0</v>
      </c>
      <c r="M7" s="26" t="n">
        <f aca="false">SUMPRODUCT((IF(ISNUMBER(Expenses!$G$2:$G$100),Expenses!$G$2:$G$100,0))*(IF(ISNUMBER(Expenses!$A$2:$A$100),MONTH(Expenses!$A$2:$A$100),13)=12)*(Expenses!$D$2:$D$100="Hosting &amp; Infrastructure"))</f>
        <v>0</v>
      </c>
      <c r="N7" s="18" t="n">
        <f aca="false">SUM(B7:M7)</f>
        <v>55.66</v>
      </c>
    </row>
    <row r="8" customFormat="false" ht="15" hidden="false" customHeight="true" outlineLevel="0" collapsed="false">
      <c r="A8" s="23" t="s">
        <v>13</v>
      </c>
      <c r="B8" s="24" t="n">
        <f aca="false">SUMPRODUCT((IF(ISNUMBER(Expenses!$G$2:$G$100),Expenses!$G$2:$G$100,0))*(IF(ISNUMBER(Expenses!$A$2:$A$100),MONTH(Expenses!$A$2:$A$100),13)=1)*(Expenses!$D$2:$D$100="Professional Services"))</f>
        <v>0</v>
      </c>
      <c r="C8" s="25" t="n">
        <f aca="false">SUMPRODUCT((IF(ISNUMBER(Expenses!$G$2:$G$100),Expenses!$G$2:$G$100,0))*(IF(ISNUMBER(Expenses!$A$2:$A$100),MONTH(Expenses!$A$2:$A$100),13)=2)*(Expenses!$D$2:$D$100="Professional Services"))</f>
        <v>0</v>
      </c>
      <c r="D8" s="25" t="n">
        <f aca="false">SUMPRODUCT((IF(ISNUMBER(Expenses!$G$2:$G$100),Expenses!$G$2:$G$100,0))*(IF(ISNUMBER(Expenses!$A$2:$A$100),MONTH(Expenses!$A$2:$A$100),13)=3)*(Expenses!$D$2:$D$100="Professional Services"))</f>
        <v>0</v>
      </c>
      <c r="E8" s="25" t="n">
        <f aca="false">SUMPRODUCT((IF(ISNUMBER(Expenses!$G$2:$G$100),Expenses!$G$2:$G$100,0))*(IF(ISNUMBER(Expenses!$A$2:$A$100),MONTH(Expenses!$A$2:$A$100),13)=4)*(Expenses!$D$2:$D$100="Professional Services"))</f>
        <v>0</v>
      </c>
      <c r="F8" s="26" t="n">
        <f aca="false">SUMPRODUCT((IF(ISNUMBER(Expenses!$G$2:$G$100),Expenses!$G$2:$G$100,0))*(IF(ISNUMBER(Expenses!$A$2:$A$100),MONTH(Expenses!$A$2:$A$100),13)=5)*(Expenses!$D$2:$D$100="Professional Services"))</f>
        <v>0</v>
      </c>
      <c r="G8" s="26" t="n">
        <f aca="false">SUMPRODUCT((IF(ISNUMBER(Expenses!$G$2:$G$100),Expenses!$G$2:$G$100,0))*(IF(ISNUMBER(Expenses!$A$2:$A$100),MONTH(Expenses!$A$2:$A$100),13)=6)*(Expenses!$D$2:$D$100="Professional Services"))</f>
        <v>0</v>
      </c>
      <c r="H8" s="26" t="n">
        <f aca="false">SUMPRODUCT((IF(ISNUMBER(Expenses!$G$2:$G$100),Expenses!$G$2:$G$100,0))*(IF(ISNUMBER(Expenses!$A$2:$A$100),MONTH(Expenses!$A$2:$A$100),13)=7)*(Expenses!$D$2:$D$100="Professional Services"))</f>
        <v>0</v>
      </c>
      <c r="I8" s="26" t="n">
        <f aca="false">SUMPRODUCT((IF(ISNUMBER(Expenses!$G$2:$G$100),Expenses!$G$2:$G$100,0))*(IF(ISNUMBER(Expenses!$A$2:$A$100),MONTH(Expenses!$A$2:$A$100),13)=8)*(Expenses!$D$2:$D$100="Professional Services"))</f>
        <v>0</v>
      </c>
      <c r="J8" s="26" t="n">
        <f aca="false">SUMPRODUCT((IF(ISNUMBER(Expenses!$G$2:$G$100),Expenses!$G$2:$G$100,0))*(IF(ISNUMBER(Expenses!$A$2:$A$100),MONTH(Expenses!$A$2:$A$100),13)=9)*(Expenses!$D$2:$D$100="Professional Services"))</f>
        <v>0</v>
      </c>
      <c r="K8" s="26" t="n">
        <f aca="false">SUMPRODUCT((IF(ISNUMBER(Expenses!$G$2:$G$100),Expenses!$G$2:$G$100,0))*(IF(ISNUMBER(Expenses!$A$2:$A$100),MONTH(Expenses!$A$2:$A$100),13)=10)*(Expenses!$D$2:$D$100="Professional Services"))</f>
        <v>0</v>
      </c>
      <c r="L8" s="26" t="n">
        <f aca="false">SUMPRODUCT((IF(ISNUMBER(Expenses!$G$2:$G$100),Expenses!$G$2:$G$100,0))*(IF(ISNUMBER(Expenses!$A$2:$A$100),MONTH(Expenses!$A$2:$A$100),13)=11)*(Expenses!$D$2:$D$100="Professional Services"))</f>
        <v>0</v>
      </c>
      <c r="M8" s="26" t="n">
        <f aca="false">SUMPRODUCT((IF(ISNUMBER(Expenses!$G$2:$G$100),Expenses!$G$2:$G$100,0))*(IF(ISNUMBER(Expenses!$A$2:$A$100),MONTH(Expenses!$A$2:$A$100),13)=12)*(Expenses!$D$2:$D$100="Professional Services"))</f>
        <v>0</v>
      </c>
      <c r="N8" s="18" t="n">
        <f aca="false">SUM(B8:M8)</f>
        <v>0</v>
      </c>
    </row>
    <row r="9" customFormat="false" ht="15" hidden="false" customHeight="true" outlineLevel="0" collapsed="false">
      <c r="A9" s="27" t="s">
        <v>176</v>
      </c>
      <c r="B9" s="28" t="n">
        <f aca="false">SUMPRODUCT((IF(ISNUMBER(Expenses!$G$2:$G$100),Expenses!$G$2:$G$100,0))*(IF(ISNUMBER(Expenses!$A$2:$A$100),MONTH(Expenses!$A$2:$A$100),13)=1)*(Expenses!$D$2:$D$100="Office &amp; Equipment"))</f>
        <v>0</v>
      </c>
      <c r="C9" s="28" t="n">
        <f aca="false">SUMPRODUCT((IF(ISNUMBER(Expenses!$G$2:$G$100),Expenses!$G$2:$G$100,0))*(IF(ISNUMBER(Expenses!$A$2:$A$100),MONTH(Expenses!$A$2:$A$100),13)=2)*(Expenses!$D$2:$D$100="Office &amp; Equipment"))</f>
        <v>0</v>
      </c>
      <c r="D9" s="28" t="n">
        <f aca="false">SUMPRODUCT((IF(ISNUMBER(Expenses!$G$2:$G$100),Expenses!$G$2:$G$100,0))*(IF(ISNUMBER(Expenses!$A$2:$A$100),MONTH(Expenses!$A$2:$A$100),13)=3)*(Expenses!$D$2:$D$100="Office &amp; Equipment"))</f>
        <v>0</v>
      </c>
      <c r="E9" s="28" t="n">
        <f aca="false">SUMPRODUCT((IF(ISNUMBER(Expenses!$G$2:$G$100),Expenses!$G$2:$G$100,0))*(IF(ISNUMBER(Expenses!$A$2:$A$100),MONTH(Expenses!$A$2:$A$100),13)=4)*(Expenses!$D$2:$D$100="Office &amp; Equipment"))</f>
        <v>0</v>
      </c>
      <c r="F9" s="26" t="n">
        <f aca="false">SUMPRODUCT((IF(ISNUMBER(Expenses!$G$2:$G$100),Expenses!$G$2:$G$100,0))*(IF(ISNUMBER(Expenses!$A$2:$A$100),MONTH(Expenses!$A$2:$A$100),13)=5)*(Expenses!$D$2:$D$100="Office &amp; Equipment"))</f>
        <v>0</v>
      </c>
      <c r="G9" s="26" t="n">
        <f aca="false">SUMPRODUCT((IF(ISNUMBER(Expenses!$G$2:$G$100),Expenses!$G$2:$G$100,0))*(IF(ISNUMBER(Expenses!$A$2:$A$100),MONTH(Expenses!$A$2:$A$100),13)=6)*(Expenses!$D$2:$D$100="Office &amp; Equipment"))</f>
        <v>0</v>
      </c>
      <c r="H9" s="26" t="n">
        <f aca="false">SUMPRODUCT((IF(ISNUMBER(Expenses!$G$2:$G$100),Expenses!$G$2:$G$100,0))*(IF(ISNUMBER(Expenses!$A$2:$A$100),MONTH(Expenses!$A$2:$A$100),13)=7)*(Expenses!$D$2:$D$100="Office &amp; Equipment"))</f>
        <v>0</v>
      </c>
      <c r="I9" s="26" t="n">
        <f aca="false">SUMPRODUCT((IF(ISNUMBER(Expenses!$G$2:$G$100),Expenses!$G$2:$G$100,0))*(IF(ISNUMBER(Expenses!$A$2:$A$100),MONTH(Expenses!$A$2:$A$100),13)=8)*(Expenses!$D$2:$D$100="Office &amp; Equipment"))</f>
        <v>0</v>
      </c>
      <c r="J9" s="26" t="n">
        <f aca="false">SUMPRODUCT((IF(ISNUMBER(Expenses!$G$2:$G$100),Expenses!$G$2:$G$100,0))*(IF(ISNUMBER(Expenses!$A$2:$A$100),MONTH(Expenses!$A$2:$A$100),13)=9)*(Expenses!$D$2:$D$100="Office &amp; Equipment"))</f>
        <v>0</v>
      </c>
      <c r="K9" s="26" t="n">
        <f aca="false">SUMPRODUCT((IF(ISNUMBER(Expenses!$G$2:$G$100),Expenses!$G$2:$G$100,0))*(IF(ISNUMBER(Expenses!$A$2:$A$100),MONTH(Expenses!$A$2:$A$100),13)=10)*(Expenses!$D$2:$D$100="Office &amp; Equipment"))</f>
        <v>0</v>
      </c>
      <c r="L9" s="26" t="n">
        <f aca="false">SUMPRODUCT((IF(ISNUMBER(Expenses!$G$2:$G$100),Expenses!$G$2:$G$100,0))*(IF(ISNUMBER(Expenses!$A$2:$A$100),MONTH(Expenses!$A$2:$A$100),13)=11)*(Expenses!$D$2:$D$100="Office &amp; Equipment"))</f>
        <v>0</v>
      </c>
      <c r="M9" s="26" t="n">
        <f aca="false">SUMPRODUCT((IF(ISNUMBER(Expenses!$G$2:$G$100),Expenses!$G$2:$G$100,0))*(IF(ISNUMBER(Expenses!$A$2:$A$100),MONTH(Expenses!$A$2:$A$100),13)=12)*(Expenses!$D$2:$D$100="Office &amp; Equipment"))</f>
        <v>0</v>
      </c>
      <c r="N9" s="18" t="n">
        <f aca="false">SUM(B9:M9)</f>
        <v>0</v>
      </c>
    </row>
    <row r="10" customFormat="false" ht="15" hidden="false" customHeight="true" outlineLevel="0" collapsed="false">
      <c r="A10" s="17" t="s">
        <v>177</v>
      </c>
      <c r="B10" s="26" t="n">
        <f aca="false">SUMPRODUCT((IF(ISNUMBER(Expenses!$G$2:$G$100),Expenses!$G$2:$G$100,0))*(IF(ISNUMBER(Expenses!$A$2:$A$100),MONTH(Expenses!$A$2:$A$100),13)=1)*(Expenses!$D$2:$D$100="Travel &amp; Subsistence"))</f>
        <v>0</v>
      </c>
      <c r="C10" s="26" t="n">
        <f aca="false">SUMPRODUCT((IF(ISNUMBER(Expenses!$G$2:$G$100),Expenses!$G$2:$G$100,0))*(IF(ISNUMBER(Expenses!$A$2:$A$100),MONTH(Expenses!$A$2:$A$100),13)=2)*(Expenses!$D$2:$D$100="Travel &amp; Subsistence"))</f>
        <v>0</v>
      </c>
      <c r="D10" s="26" t="n">
        <f aca="false">SUMPRODUCT((IF(ISNUMBER(Expenses!$G$2:$G$100),Expenses!$G$2:$G$100,0))*(IF(ISNUMBER(Expenses!$A$2:$A$100),MONTH(Expenses!$A$2:$A$100),13)=3)*(Expenses!$D$2:$D$100="Travel &amp; Subsistence"))</f>
        <v>0</v>
      </c>
      <c r="E10" s="26" t="n">
        <f aca="false">SUMPRODUCT((IF(ISNUMBER(Expenses!$G$2:$G$100),Expenses!$G$2:$G$100,0))*(IF(ISNUMBER(Expenses!$A$2:$A$100),MONTH(Expenses!$A$2:$A$100),13)=4)*(Expenses!$D$2:$D$100="Travel &amp; Subsistence"))</f>
        <v>0</v>
      </c>
      <c r="F10" s="26" t="n">
        <f aca="false">SUMPRODUCT((IF(ISNUMBER(Expenses!$G$2:$G$100),Expenses!$G$2:$G$100,0))*(IF(ISNUMBER(Expenses!$A$2:$A$100),MONTH(Expenses!$A$2:$A$100),13)=5)*(Expenses!$D$2:$D$100="Travel &amp; Subsistence"))</f>
        <v>0</v>
      </c>
      <c r="G10" s="26" t="n">
        <f aca="false">SUMPRODUCT((IF(ISNUMBER(Expenses!$G$2:$G$100),Expenses!$G$2:$G$100,0))*(IF(ISNUMBER(Expenses!$A$2:$A$100),MONTH(Expenses!$A$2:$A$100),13)=6)*(Expenses!$D$2:$D$100="Travel &amp; Subsistence"))</f>
        <v>0</v>
      </c>
      <c r="H10" s="26" t="n">
        <f aca="false">SUMPRODUCT((IF(ISNUMBER(Expenses!$G$2:$G$100),Expenses!$G$2:$G$100,0))*(IF(ISNUMBER(Expenses!$A$2:$A$100),MONTH(Expenses!$A$2:$A$100),13)=7)*(Expenses!$D$2:$D$100="Travel &amp; Subsistence"))</f>
        <v>0</v>
      </c>
      <c r="I10" s="26" t="n">
        <f aca="false">SUMPRODUCT((IF(ISNUMBER(Expenses!$G$2:$G$100),Expenses!$G$2:$G$100,0))*(IF(ISNUMBER(Expenses!$A$2:$A$100),MONTH(Expenses!$A$2:$A$100),13)=8)*(Expenses!$D$2:$D$100="Travel &amp; Subsistence"))</f>
        <v>0</v>
      </c>
      <c r="J10" s="26" t="n">
        <f aca="false">SUMPRODUCT((IF(ISNUMBER(Expenses!$G$2:$G$100),Expenses!$G$2:$G$100,0))*(IF(ISNUMBER(Expenses!$A$2:$A$100),MONTH(Expenses!$A$2:$A$100),13)=9)*(Expenses!$D$2:$D$100="Travel &amp; Subsistence"))</f>
        <v>0</v>
      </c>
      <c r="K10" s="26" t="n">
        <f aca="false">SUMPRODUCT((IF(ISNUMBER(Expenses!$G$2:$G$100),Expenses!$G$2:$G$100,0))*(IF(ISNUMBER(Expenses!$A$2:$A$100),MONTH(Expenses!$A$2:$A$100),13)=10)*(Expenses!$D$2:$D$100="Travel &amp; Subsistence"))</f>
        <v>0</v>
      </c>
      <c r="L10" s="26" t="n">
        <f aca="false">SUMPRODUCT((IF(ISNUMBER(Expenses!$G$2:$G$100),Expenses!$G$2:$G$100,0))*(IF(ISNUMBER(Expenses!$A$2:$A$100),MONTH(Expenses!$A$2:$A$100),13)=11)*(Expenses!$D$2:$D$100="Travel &amp; Subsistence"))</f>
        <v>0</v>
      </c>
      <c r="M10" s="26" t="n">
        <f aca="false">SUMPRODUCT((IF(ISNUMBER(Expenses!$G$2:$G$100),Expenses!$G$2:$G$100,0))*(IF(ISNUMBER(Expenses!$A$2:$A$100),MONTH(Expenses!$A$2:$A$100),13)=12)*(Expenses!$D$2:$D$100="Travel &amp; Subsistence"))</f>
        <v>0</v>
      </c>
      <c r="N10" s="18" t="n">
        <f aca="false">SUM(B10:M10)</f>
        <v>0</v>
      </c>
    </row>
    <row r="11" customFormat="false" ht="15" hidden="false" customHeight="true" outlineLevel="0" collapsed="false">
      <c r="A11" s="17" t="s">
        <v>178</v>
      </c>
      <c r="B11" s="26" t="n">
        <f aca="false">SUMPRODUCT((IF(ISNUMBER(Expenses!$G$2:$G$100),Expenses!$G$2:$G$100,0))*(IF(ISNUMBER(Expenses!$A$2:$A$100),MONTH(Expenses!$A$2:$A$100),13)=1)*(Expenses!$D$2:$D$100="Phone &amp; Internet"))</f>
        <v>0</v>
      </c>
      <c r="C11" s="26" t="n">
        <f aca="false">SUMPRODUCT((IF(ISNUMBER(Expenses!$G$2:$G$100),Expenses!$G$2:$G$100,0))*(IF(ISNUMBER(Expenses!$A$2:$A$100),MONTH(Expenses!$A$2:$A$100),13)=2)*(Expenses!$D$2:$D$100="Phone &amp; Internet"))</f>
        <v>0</v>
      </c>
      <c r="D11" s="26" t="n">
        <f aca="false">SUMPRODUCT((IF(ISNUMBER(Expenses!$G$2:$G$100),Expenses!$G$2:$G$100,0))*(IF(ISNUMBER(Expenses!$A$2:$A$100),MONTH(Expenses!$A$2:$A$100),13)=3)*(Expenses!$D$2:$D$100="Phone &amp; Internet"))</f>
        <v>0</v>
      </c>
      <c r="E11" s="26" t="n">
        <f aca="false">SUMPRODUCT((IF(ISNUMBER(Expenses!$G$2:$G$100),Expenses!$G$2:$G$100,0))*(IF(ISNUMBER(Expenses!$A$2:$A$100),MONTH(Expenses!$A$2:$A$100),13)=4)*(Expenses!$D$2:$D$100="Phone &amp; Internet"))</f>
        <v>0</v>
      </c>
      <c r="F11" s="26" t="n">
        <f aca="false">SUMPRODUCT((IF(ISNUMBER(Expenses!$G$2:$G$100),Expenses!$G$2:$G$100,0))*(IF(ISNUMBER(Expenses!$A$2:$A$100),MONTH(Expenses!$A$2:$A$100),13)=5)*(Expenses!$D$2:$D$100="Phone &amp; Internet"))</f>
        <v>0</v>
      </c>
      <c r="G11" s="26" t="n">
        <f aca="false">SUMPRODUCT((IF(ISNUMBER(Expenses!$G$2:$G$100),Expenses!$G$2:$G$100,0))*(IF(ISNUMBER(Expenses!$A$2:$A$100),MONTH(Expenses!$A$2:$A$100),13)=6)*(Expenses!$D$2:$D$100="Phone &amp; Internet"))</f>
        <v>0</v>
      </c>
      <c r="H11" s="26" t="n">
        <f aca="false">SUMPRODUCT((IF(ISNUMBER(Expenses!$G$2:$G$100),Expenses!$G$2:$G$100,0))*(IF(ISNUMBER(Expenses!$A$2:$A$100),MONTH(Expenses!$A$2:$A$100),13)=7)*(Expenses!$D$2:$D$100="Phone &amp; Internet"))</f>
        <v>0</v>
      </c>
      <c r="I11" s="26" t="n">
        <f aca="false">SUMPRODUCT((IF(ISNUMBER(Expenses!$G$2:$G$100),Expenses!$G$2:$G$100,0))*(IF(ISNUMBER(Expenses!$A$2:$A$100),MONTH(Expenses!$A$2:$A$100),13)=8)*(Expenses!$D$2:$D$100="Phone &amp; Internet"))</f>
        <v>0</v>
      </c>
      <c r="J11" s="26" t="n">
        <f aca="false">SUMPRODUCT((IF(ISNUMBER(Expenses!$G$2:$G$100),Expenses!$G$2:$G$100,0))*(IF(ISNUMBER(Expenses!$A$2:$A$100),MONTH(Expenses!$A$2:$A$100),13)=9)*(Expenses!$D$2:$D$100="Phone &amp; Internet"))</f>
        <v>0</v>
      </c>
      <c r="K11" s="26" t="n">
        <f aca="false">SUMPRODUCT((IF(ISNUMBER(Expenses!$G$2:$G$100),Expenses!$G$2:$G$100,0))*(IF(ISNUMBER(Expenses!$A$2:$A$100),MONTH(Expenses!$A$2:$A$100),13)=10)*(Expenses!$D$2:$D$100="Phone &amp; Internet"))</f>
        <v>0</v>
      </c>
      <c r="L11" s="26" t="n">
        <f aca="false">SUMPRODUCT((IF(ISNUMBER(Expenses!$G$2:$G$100),Expenses!$G$2:$G$100,0))*(IF(ISNUMBER(Expenses!$A$2:$A$100),MONTH(Expenses!$A$2:$A$100),13)=11)*(Expenses!$D$2:$D$100="Phone &amp; Internet"))</f>
        <v>0</v>
      </c>
      <c r="M11" s="26" t="n">
        <f aca="false">SUMPRODUCT((IF(ISNUMBER(Expenses!$G$2:$G$100),Expenses!$G$2:$G$100,0))*(IF(ISNUMBER(Expenses!$A$2:$A$100),MONTH(Expenses!$A$2:$A$100),13)=12)*(Expenses!$D$2:$D$100="Phone &amp; Internet"))</f>
        <v>0</v>
      </c>
      <c r="N11" s="18" t="n">
        <f aca="false">SUM(B11:M11)</f>
        <v>0</v>
      </c>
    </row>
    <row r="12" customFormat="false" ht="15" hidden="false" customHeight="true" outlineLevel="0" collapsed="false">
      <c r="A12" s="17" t="s">
        <v>179</v>
      </c>
      <c r="B12" s="26" t="n">
        <f aca="false">SUMPRODUCT((IF(ISNUMBER(Expenses!$G$2:$G$100),Expenses!$G$2:$G$100,0))*(IF(ISNUMBER(Expenses!$A$2:$A$100),MONTH(Expenses!$A$2:$A$100),13)=1)*(Expenses!$D$2:$D$100="Bank Charges"))</f>
        <v>0</v>
      </c>
      <c r="C12" s="26" t="n">
        <f aca="false">SUMPRODUCT((IF(ISNUMBER(Expenses!$G$2:$G$100),Expenses!$G$2:$G$100,0))*(IF(ISNUMBER(Expenses!$A$2:$A$100),MONTH(Expenses!$A$2:$A$100),13)=2)*(Expenses!$D$2:$D$100="Bank Charges"))</f>
        <v>0</v>
      </c>
      <c r="D12" s="26" t="n">
        <f aca="false">SUMPRODUCT((IF(ISNUMBER(Expenses!$G$2:$G$100),Expenses!$G$2:$G$100,0))*(IF(ISNUMBER(Expenses!$A$2:$A$100),MONTH(Expenses!$A$2:$A$100),13)=3)*(Expenses!$D$2:$D$100="Bank Charges"))</f>
        <v>0</v>
      </c>
      <c r="E12" s="26" t="n">
        <f aca="false">SUMPRODUCT((IF(ISNUMBER(Expenses!$G$2:$G$100),Expenses!$G$2:$G$100,0))*(IF(ISNUMBER(Expenses!$A$2:$A$100),MONTH(Expenses!$A$2:$A$100),13)=4)*(Expenses!$D$2:$D$100="Bank Charges"))</f>
        <v>0</v>
      </c>
      <c r="F12" s="26" t="n">
        <f aca="false">SUMPRODUCT((IF(ISNUMBER(Expenses!$G$2:$G$100),Expenses!$G$2:$G$100,0))*(IF(ISNUMBER(Expenses!$A$2:$A$100),MONTH(Expenses!$A$2:$A$100),13)=5)*(Expenses!$D$2:$D$100="Bank Charges"))</f>
        <v>0</v>
      </c>
      <c r="G12" s="26" t="n">
        <f aca="false">SUMPRODUCT((IF(ISNUMBER(Expenses!$G$2:$G$100),Expenses!$G$2:$G$100,0))*(IF(ISNUMBER(Expenses!$A$2:$A$100),MONTH(Expenses!$A$2:$A$100),13)=6)*(Expenses!$D$2:$D$100="Bank Charges"))</f>
        <v>0</v>
      </c>
      <c r="H12" s="26" t="n">
        <f aca="false">SUMPRODUCT((IF(ISNUMBER(Expenses!$G$2:$G$100),Expenses!$G$2:$G$100,0))*(IF(ISNUMBER(Expenses!$A$2:$A$100),MONTH(Expenses!$A$2:$A$100),13)=7)*(Expenses!$D$2:$D$100="Bank Charges"))</f>
        <v>0</v>
      </c>
      <c r="I12" s="26" t="n">
        <f aca="false">SUMPRODUCT((IF(ISNUMBER(Expenses!$G$2:$G$100),Expenses!$G$2:$G$100,0))*(IF(ISNUMBER(Expenses!$A$2:$A$100),MONTH(Expenses!$A$2:$A$100),13)=8)*(Expenses!$D$2:$D$100="Bank Charges"))</f>
        <v>0</v>
      </c>
      <c r="J12" s="26" t="n">
        <f aca="false">SUMPRODUCT((IF(ISNUMBER(Expenses!$G$2:$G$100),Expenses!$G$2:$G$100,0))*(IF(ISNUMBER(Expenses!$A$2:$A$100),MONTH(Expenses!$A$2:$A$100),13)=9)*(Expenses!$D$2:$D$100="Bank Charges"))</f>
        <v>0</v>
      </c>
      <c r="K12" s="26" t="n">
        <f aca="false">SUMPRODUCT((IF(ISNUMBER(Expenses!$G$2:$G$100),Expenses!$G$2:$G$100,0))*(IF(ISNUMBER(Expenses!$A$2:$A$100),MONTH(Expenses!$A$2:$A$100),13)=10)*(Expenses!$D$2:$D$100="Bank Charges"))</f>
        <v>0</v>
      </c>
      <c r="L12" s="26" t="n">
        <f aca="false">SUMPRODUCT((IF(ISNUMBER(Expenses!$G$2:$G$100),Expenses!$G$2:$G$100,0))*(IF(ISNUMBER(Expenses!$A$2:$A$100),MONTH(Expenses!$A$2:$A$100),13)=11)*(Expenses!$D$2:$D$100="Bank Charges"))</f>
        <v>0</v>
      </c>
      <c r="M12" s="26" t="n">
        <f aca="false">SUMPRODUCT((IF(ISNUMBER(Expenses!$G$2:$G$100),Expenses!$G$2:$G$100,0))*(IF(ISNUMBER(Expenses!$A$2:$A$100),MONTH(Expenses!$A$2:$A$100),13)=12)*(Expenses!$D$2:$D$100="Bank Charges"))</f>
        <v>0</v>
      </c>
      <c r="N12" s="18" t="n">
        <f aca="false">SUM(B12:M12)</f>
        <v>0</v>
      </c>
    </row>
    <row r="13" customFormat="false" ht="15" hidden="false" customHeight="true" outlineLevel="0" collapsed="false">
      <c r="A13" s="29" t="s">
        <v>180</v>
      </c>
      <c r="B13" s="30" t="n">
        <f aca="false">SUMPRODUCT((IF(ISNUMBER(Expenses!$G$2:$G$100),Expenses!$G$2:$G$100,0))*(IF(ISNUMBER(Expenses!$A$2:$A$100),MONTH(Expenses!$A$2:$A$100),13)=1)*(Expenses!$D$2:$D$100="Insurance"))</f>
        <v>0</v>
      </c>
      <c r="C13" s="30" t="n">
        <f aca="false">SUMPRODUCT((IF(ISNUMBER(Expenses!$G$2:$G$100),Expenses!$G$2:$G$100,0))*(IF(ISNUMBER(Expenses!$A$2:$A$100),MONTH(Expenses!$A$2:$A$100),13)=2)*(Expenses!$D$2:$D$100="Insurance"))</f>
        <v>0</v>
      </c>
      <c r="D13" s="30" t="n">
        <f aca="false">SUMPRODUCT((IF(ISNUMBER(Expenses!$G$2:$G$100),Expenses!$G$2:$G$100,0))*(IF(ISNUMBER(Expenses!$A$2:$A$100),MONTH(Expenses!$A$2:$A$100),13)=3)*(Expenses!$D$2:$D$100="Insurance"))</f>
        <v>0</v>
      </c>
      <c r="E13" s="30" t="n">
        <f aca="false">SUMPRODUCT((IF(ISNUMBER(Expenses!$G$2:$G$100),Expenses!$G$2:$G$100,0))*(IF(ISNUMBER(Expenses!$A$2:$A$100),MONTH(Expenses!$A$2:$A$100),13)=4)*(Expenses!$D$2:$D$100="Insurance"))</f>
        <v>0</v>
      </c>
      <c r="F13" s="26" t="n">
        <f aca="false">SUMPRODUCT((IF(ISNUMBER(Expenses!$G$2:$G$100),Expenses!$G$2:$G$100,0))*(IF(ISNUMBER(Expenses!$A$2:$A$100),MONTH(Expenses!$A$2:$A$100),13)=5)*(Expenses!$D$2:$D$100="Insurance"))</f>
        <v>0</v>
      </c>
      <c r="G13" s="26" t="n">
        <f aca="false">SUMPRODUCT((IF(ISNUMBER(Expenses!$G$2:$G$100),Expenses!$G$2:$G$100,0))*(IF(ISNUMBER(Expenses!$A$2:$A$100),MONTH(Expenses!$A$2:$A$100),13)=6)*(Expenses!$D$2:$D$100="Insurance"))</f>
        <v>0</v>
      </c>
      <c r="H13" s="26" t="n">
        <f aca="false">SUMPRODUCT((IF(ISNUMBER(Expenses!$G$2:$G$100),Expenses!$G$2:$G$100,0))*(IF(ISNUMBER(Expenses!$A$2:$A$100),MONTH(Expenses!$A$2:$A$100),13)=7)*(Expenses!$D$2:$D$100="Insurance"))</f>
        <v>0</v>
      </c>
      <c r="I13" s="26" t="n">
        <f aca="false">SUMPRODUCT((IF(ISNUMBER(Expenses!$G$2:$G$100),Expenses!$G$2:$G$100,0))*(IF(ISNUMBER(Expenses!$A$2:$A$100),MONTH(Expenses!$A$2:$A$100),13)=8)*(Expenses!$D$2:$D$100="Insurance"))</f>
        <v>0</v>
      </c>
      <c r="J13" s="26" t="n">
        <f aca="false">SUMPRODUCT((IF(ISNUMBER(Expenses!$G$2:$G$100),Expenses!$G$2:$G$100,0))*(IF(ISNUMBER(Expenses!$A$2:$A$100),MONTH(Expenses!$A$2:$A$100),13)=9)*(Expenses!$D$2:$D$100="Insurance"))</f>
        <v>0</v>
      </c>
      <c r="K13" s="26" t="n">
        <f aca="false">SUMPRODUCT((IF(ISNUMBER(Expenses!$G$2:$G$100),Expenses!$G$2:$G$100,0))*(IF(ISNUMBER(Expenses!$A$2:$A$100),MONTH(Expenses!$A$2:$A$100),13)=10)*(Expenses!$D$2:$D$100="Insurance"))</f>
        <v>0</v>
      </c>
      <c r="L13" s="26" t="n">
        <f aca="false">SUMPRODUCT((IF(ISNUMBER(Expenses!$G$2:$G$100),Expenses!$G$2:$G$100,0))*(IF(ISNUMBER(Expenses!$A$2:$A$100),MONTH(Expenses!$A$2:$A$100),13)=11)*(Expenses!$D$2:$D$100="Insurance"))</f>
        <v>0</v>
      </c>
      <c r="M13" s="26" t="n">
        <f aca="false">SUMPRODUCT((IF(ISNUMBER(Expenses!$G$2:$G$100),Expenses!$G$2:$G$100,0))*(IF(ISNUMBER(Expenses!$A$2:$A$100),MONTH(Expenses!$A$2:$A$100),13)=12)*(Expenses!$D$2:$D$100="Insurance"))</f>
        <v>0</v>
      </c>
      <c r="N13" s="18" t="n">
        <f aca="false">SUM(B13:M13)</f>
        <v>0</v>
      </c>
    </row>
    <row r="14" customFormat="false" ht="15" hidden="false" customHeight="true" outlineLevel="0" collapsed="false">
      <c r="A14" s="23" t="s">
        <v>181</v>
      </c>
      <c r="B14" s="24" t="n">
        <f aca="false">SUMPRODUCT((IF(ISNUMBER(Expenses!$G$2:$G$100),Expenses!$G$2:$G$100,0))*(IF(ISNUMBER(Expenses!$A$2:$A$100),MONTH(Expenses!$A$2:$A$100),13)=1)*(Expenses!$D$2:$D$100="Other"))</f>
        <v>0</v>
      </c>
      <c r="C14" s="25" t="n">
        <f aca="false">SUMPRODUCT((IF(ISNUMBER(Expenses!$G$2:$G$100),Expenses!$G$2:$G$100,0))*(IF(ISNUMBER(Expenses!$A$2:$A$100),MONTH(Expenses!$A$2:$A$100),13)=2)*(Expenses!$D$2:$D$100="Other"))</f>
        <v>0</v>
      </c>
      <c r="D14" s="25" t="n">
        <f aca="false">SUMPRODUCT((IF(ISNUMBER(Expenses!$G$2:$G$100),Expenses!$G$2:$G$100,0))*(IF(ISNUMBER(Expenses!$A$2:$A$100),MONTH(Expenses!$A$2:$A$100),13)=3)*(Expenses!$D$2:$D$100="Other"))</f>
        <v>0</v>
      </c>
      <c r="E14" s="25" t="n">
        <f aca="false">SUMPRODUCT((IF(ISNUMBER(Expenses!$G$2:$G$100),Expenses!$G$2:$G$100,0))*(IF(ISNUMBER(Expenses!$A$2:$A$100),MONTH(Expenses!$A$2:$A$100),13)=4)*(Expenses!$D$2:$D$100="Other"))</f>
        <v>0</v>
      </c>
      <c r="F14" s="26" t="n">
        <f aca="false">SUMPRODUCT((IF(ISNUMBER(Expenses!$G$2:$G$100),Expenses!$G$2:$G$100,0))*(IF(ISNUMBER(Expenses!$A$2:$A$100),MONTH(Expenses!$A$2:$A$100),13)=5)*(Expenses!$D$2:$D$100="Other"))</f>
        <v>0</v>
      </c>
      <c r="G14" s="26" t="n">
        <f aca="false">SUMPRODUCT((IF(ISNUMBER(Expenses!$G$2:$G$100),Expenses!$G$2:$G$100,0))*(IF(ISNUMBER(Expenses!$A$2:$A$100),MONTH(Expenses!$A$2:$A$100),13)=6)*(Expenses!$D$2:$D$100="Other"))</f>
        <v>0</v>
      </c>
      <c r="H14" s="26" t="n">
        <f aca="false">SUMPRODUCT((IF(ISNUMBER(Expenses!$G$2:$G$100),Expenses!$G$2:$G$100,0))*(IF(ISNUMBER(Expenses!$A$2:$A$100),MONTH(Expenses!$A$2:$A$100),13)=7)*(Expenses!$D$2:$D$100="Other"))</f>
        <v>0</v>
      </c>
      <c r="I14" s="26" t="n">
        <f aca="false">SUMPRODUCT((IF(ISNUMBER(Expenses!$G$2:$G$100),Expenses!$G$2:$G$100,0))*(IF(ISNUMBER(Expenses!$A$2:$A$100),MONTH(Expenses!$A$2:$A$100),13)=8)*(Expenses!$D$2:$D$100="Other"))</f>
        <v>0</v>
      </c>
      <c r="J14" s="26" t="n">
        <f aca="false">SUMPRODUCT((IF(ISNUMBER(Expenses!$G$2:$G$100),Expenses!$G$2:$G$100,0))*(IF(ISNUMBER(Expenses!$A$2:$A$100),MONTH(Expenses!$A$2:$A$100),13)=9)*(Expenses!$D$2:$D$100="Other"))</f>
        <v>0</v>
      </c>
      <c r="K14" s="26" t="n">
        <f aca="false">SUMPRODUCT((IF(ISNUMBER(Expenses!$G$2:$G$100),Expenses!$G$2:$G$100,0))*(IF(ISNUMBER(Expenses!$A$2:$A$100),MONTH(Expenses!$A$2:$A$100),13)=10)*(Expenses!$D$2:$D$100="Other"))</f>
        <v>0</v>
      </c>
      <c r="L14" s="26" t="n">
        <f aca="false">SUMPRODUCT((IF(ISNUMBER(Expenses!$G$2:$G$100),Expenses!$G$2:$G$100,0))*(IF(ISNUMBER(Expenses!$A$2:$A$100),MONTH(Expenses!$A$2:$A$100),13)=11)*(Expenses!$D$2:$D$100="Other"))</f>
        <v>0</v>
      </c>
      <c r="M14" s="26" t="n">
        <f aca="false">SUMPRODUCT((IF(ISNUMBER(Expenses!$G$2:$G$100),Expenses!$G$2:$G$100,0))*(IF(ISNUMBER(Expenses!$A$2:$A$100),MONTH(Expenses!$A$2:$A$100),13)=12)*(Expenses!$D$2:$D$100="Other"))</f>
        <v>0</v>
      </c>
      <c r="N14" s="18" t="n">
        <f aca="false">SUM(B14:M14)</f>
        <v>0</v>
      </c>
    </row>
    <row r="15" customFormat="false" ht="15" hidden="false" customHeight="true" outlineLevel="0" collapsed="false">
      <c r="A15" s="23" t="s">
        <v>182</v>
      </c>
      <c r="B15" s="31" t="n">
        <f aca="false">SUM(B5:B14)</f>
        <v>0</v>
      </c>
      <c r="C15" s="32" t="n">
        <f aca="false">SUM(C5:C14)</f>
        <v>0</v>
      </c>
      <c r="D15" s="32" t="n">
        <f aca="false">SUM(D5:D14)</f>
        <v>483.78</v>
      </c>
      <c r="E15" s="32" t="n">
        <f aca="false">SUM(E5:E14)</f>
        <v>1248.6</v>
      </c>
      <c r="F15" s="18" t="n">
        <f aca="false">SUM(F5:F14)</f>
        <v>0</v>
      </c>
      <c r="G15" s="18" t="n">
        <f aca="false">SUM(G5:G14)</f>
        <v>0</v>
      </c>
      <c r="H15" s="18" t="n">
        <f aca="false">SUM(H5:H14)</f>
        <v>0</v>
      </c>
      <c r="I15" s="18" t="n">
        <f aca="false">SUM(I5:I14)</f>
        <v>0</v>
      </c>
      <c r="J15" s="18" t="n">
        <f aca="false">SUM(J5:J14)</f>
        <v>0</v>
      </c>
      <c r="K15" s="18" t="n">
        <f aca="false">SUM(K5:K14)</f>
        <v>0</v>
      </c>
      <c r="L15" s="18" t="n">
        <f aca="false">SUM(L5:L14)</f>
        <v>0</v>
      </c>
      <c r="M15" s="18" t="n">
        <f aca="false">SUM(M5:M14)</f>
        <v>0</v>
      </c>
      <c r="N15" s="18" t="n">
        <f aca="false">SUM(B15:M15)</f>
        <v>1732.38</v>
      </c>
    </row>
    <row r="16" customFormat="false" ht="15" hidden="false" customHeight="true" outlineLevel="0" collapsed="false">
      <c r="A16" s="27"/>
      <c r="B16" s="27"/>
      <c r="C16" s="33"/>
      <c r="D16" s="33"/>
      <c r="E16" s="33"/>
    </row>
    <row r="17" customFormat="false" ht="15" hidden="false" customHeight="true" outlineLevel="0" collapsed="false">
      <c r="A17" s="20" t="s">
        <v>183</v>
      </c>
    </row>
    <row r="18" customFormat="false" ht="15" hidden="false" customHeight="true" outlineLevel="0" collapsed="false">
      <c r="A18" s="34" t="s">
        <v>184</v>
      </c>
      <c r="B18" s="34" t="s">
        <v>185</v>
      </c>
      <c r="C18" s="34" t="s">
        <v>186</v>
      </c>
      <c r="D18" s="34" t="s">
        <v>187</v>
      </c>
    </row>
    <row r="19" customFormat="false" ht="15" hidden="false" customHeight="true" outlineLevel="0" collapsed="false">
      <c r="A19" s="17" t="s">
        <v>188</v>
      </c>
      <c r="B19" s="35" t="n">
        <f aca="false">SUMPRODUCT((IF(ISNUMBER(Expenses!$E$2:$E$100),Expenses!$E$2:$E$100,0))*(IF(ISNUMBER(Expenses!$A$2:$A$100),MONTH(Expenses!$A$2:$A$100),13)&gt;=1)*(IF(ISNUMBER(Expenses!$A$2:$A$100),MONTH(Expenses!$A$2:$A$100),13)&lt;=3))</f>
        <v>407.32</v>
      </c>
      <c r="C19" s="35" t="n">
        <f aca="false">SUMPRODUCT((IF(ISNUMBER(Expenses!$F$2:$F$100),Expenses!$F$2:$F$100,0))*(IF(ISNUMBER(Expenses!$A$2:$A$100),MONTH(Expenses!$A$2:$A$100),13)&gt;=1)*(IF(ISNUMBER(Expenses!$A$2:$A$100),MONTH(Expenses!$A$2:$A$100),13)&lt;=3))</f>
        <v>76.46</v>
      </c>
      <c r="D19" s="35" t="n">
        <f aca="false">SUMPRODUCT((IF(ISNUMBER(Expenses!$G$2:$G$100),Expenses!$G$2:$G$100,0))*(IF(ISNUMBER(Expenses!$A$2:$A$100),MONTH(Expenses!$A$2:$A$100),13)&gt;=1)*(IF(ISNUMBER(Expenses!$A$2:$A$100),MONTH(Expenses!$A$2:$A$100),13)&lt;=3))</f>
        <v>483.78</v>
      </c>
    </row>
    <row r="20" customFormat="false" ht="15" hidden="false" customHeight="true" outlineLevel="0" collapsed="false">
      <c r="A20" s="17" t="s">
        <v>189</v>
      </c>
      <c r="B20" s="35" t="n">
        <f aca="false">SUMPRODUCT((IF(ISNUMBER(Expenses!$E$2:$E$100),Expenses!$E$2:$E$100,0))*(IF(ISNUMBER(Expenses!$A$2:$A$100),MONTH(Expenses!$A$2:$A$100),13)&gt;=4)*(IF(ISNUMBER(Expenses!$A$2:$A$100),MONTH(Expenses!$A$2:$A$100),13)&lt;=6))</f>
        <v>1168.45</v>
      </c>
      <c r="C20" s="18" t="n">
        <f aca="false">SUMPRODUCT((IF(ISNUMBER(Expenses!$F$2:$F$100),Expenses!$F$2:$F$100,0))*(IF(ISNUMBER(Expenses!$A$2:$A$100),MONTH(Expenses!$A$2:$A$100),13)&gt;=4)*(IF(ISNUMBER(Expenses!$A$2:$A$100),MONTH(Expenses!$A$2:$A$100),13)&lt;=6))</f>
        <v>80.15</v>
      </c>
      <c r="D20" s="35" t="n">
        <f aca="false">SUMPRODUCT((IF(ISNUMBER(Expenses!$G$2:$G$100),Expenses!$G$2:$G$100,0))*(IF(ISNUMBER(Expenses!$A$2:$A$100),MONTH(Expenses!$A$2:$A$100),13)&gt;=4)*(IF(ISNUMBER(Expenses!$A$2:$A$100),MONTH(Expenses!$A$2:$A$100),13)&lt;=6))</f>
        <v>1248.6</v>
      </c>
    </row>
    <row r="21" customFormat="false" ht="15" hidden="false" customHeight="true" outlineLevel="0" collapsed="false">
      <c r="A21" s="17" t="s">
        <v>190</v>
      </c>
      <c r="B21" s="35" t="n">
        <f aca="false">SUMPRODUCT((IF(ISNUMBER(Expenses!$E$2:$E$100),Expenses!$E$2:$E$100,0))*(IF(ISNUMBER(Expenses!$A$2:$A$100),MONTH(Expenses!$A$2:$A$100),13)&gt;=7)*(IF(ISNUMBER(Expenses!$A$2:$A$100),MONTH(Expenses!$A$2:$A$100),13)&lt;=9))</f>
        <v>0</v>
      </c>
      <c r="C21" s="18" t="n">
        <f aca="false">SUMPRODUCT((IF(ISNUMBER(Expenses!$F$2:$F$100),Expenses!$F$2:$F$100,0))*(IF(ISNUMBER(Expenses!$A$2:$A$100),MONTH(Expenses!$A$2:$A$100),13)&gt;=7)*(IF(ISNUMBER(Expenses!$A$2:$A$100),MONTH(Expenses!$A$2:$A$100),13)&lt;=9))</f>
        <v>0</v>
      </c>
      <c r="D21" s="35" t="n">
        <f aca="false">SUMPRODUCT((IF(ISNUMBER(Expenses!$G$2:$G$100),Expenses!$G$2:$G$100,0))*(IF(ISNUMBER(Expenses!$A$2:$A$100),MONTH(Expenses!$A$2:$A$100),13)&gt;=7)*(IF(ISNUMBER(Expenses!$A$2:$A$100),MONTH(Expenses!$A$2:$A$100),13)&lt;=9))</f>
        <v>0</v>
      </c>
    </row>
    <row r="22" customFormat="false" ht="15" hidden="false" customHeight="true" outlineLevel="0" collapsed="false">
      <c r="A22" s="17" t="s">
        <v>191</v>
      </c>
      <c r="B22" s="35" t="n">
        <f aca="false">SUMPRODUCT((IF(ISNUMBER(Expenses!$E$2:$E$100),Expenses!$E$2:$E$100,0))*(IF(ISNUMBER(Expenses!$A$2:$A$100),MONTH(Expenses!$A$2:$A$100),13)&gt;=10)*(IF(ISNUMBER(Expenses!$A$2:$A$100),MONTH(Expenses!$A$2:$A$100),13)&lt;=12))</f>
        <v>0</v>
      </c>
      <c r="C22" s="18" t="n">
        <f aca="false">SUMPRODUCT((IF(ISNUMBER(Expenses!$F$2:$F$100),Expenses!$F$2:$F$100,0))*(IF(ISNUMBER(Expenses!$A$2:$A$100),MONTH(Expenses!$A$2:$A$100),13)&gt;=10)*(IF(ISNUMBER(Expenses!$A$2:$A$100),MONTH(Expenses!$A$2:$A$100),13)&lt;=12))</f>
        <v>0</v>
      </c>
      <c r="D22" s="35" t="n">
        <f aca="false">SUMPRODUCT((IF(ISNUMBER(Expenses!$G$2:$G$100),Expenses!$G$2:$G$100,0))*(IF(ISNUMBER(Expenses!$A$2:$A$100),MONTH(Expenses!$A$2:$A$100),13)&gt;=10)*(IF(ISNUMBER(Expenses!$A$2:$A$100),MONTH(Expenses!$A$2:$A$100),13)&lt;=12))</f>
        <v>0</v>
      </c>
    </row>
    <row r="23" customFormat="false" ht="15" hidden="false" customHeight="true" outlineLevel="0" collapsed="false">
      <c r="A23" s="12"/>
      <c r="C23" s="36"/>
    </row>
    <row r="25" customFormat="false" ht="15" hidden="false" customHeight="true" outlineLevel="0" collapsed="false">
      <c r="A25" s="20" t="s">
        <v>192</v>
      </c>
    </row>
    <row r="26" customFormat="false" ht="15" hidden="false" customHeight="true" outlineLevel="0" collapsed="false">
      <c r="A26" s="34"/>
      <c r="B26" s="34" t="s">
        <v>185</v>
      </c>
      <c r="C26" s="34" t="s">
        <v>186</v>
      </c>
      <c r="D26" s="34" t="s">
        <v>187</v>
      </c>
    </row>
    <row r="27" customFormat="false" ht="15" hidden="false" customHeight="true" outlineLevel="0" collapsed="false">
      <c r="A27" s="17" t="s">
        <v>193</v>
      </c>
      <c r="B27" s="18" t="n">
        <f aca="false">SUMPRODUCT(IF(ISNUMBER(Expenses!E2:E100),Expenses!E2:E100,0))</f>
        <v>3151.54</v>
      </c>
      <c r="C27" s="18" t="n">
        <f aca="false">SUM(Expenses!F2:F50)</f>
        <v>152.61</v>
      </c>
      <c r="D27" s="18" t="n">
        <f aca="false">SUM(Expenses!G2:G50)</f>
        <v>1708.38</v>
      </c>
    </row>
    <row r="30" customFormat="false" ht="15" hidden="false" customHeight="true" outlineLevel="0" collapsed="false">
      <c r="A30" s="20" t="s">
        <v>194</v>
      </c>
    </row>
    <row r="31" customFormat="false" ht="17.25" hidden="false" customHeight="true" outlineLevel="0" collapsed="false">
      <c r="A31" s="37" t="n">
        <f aca="false">SUMPRODUCT((IF(ISNUMBER(Expenses!$F$2:$F$100),Expenses!$F$2:$F$100,0))*(Expenses!$H$2:$H$100="GBP"))</f>
        <v>114.48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5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38" t="s">
        <v>195</v>
      </c>
      <c r="B1" s="38"/>
      <c r="C1" s="38"/>
    </row>
    <row r="3" customFormat="false" ht="15" hidden="false" customHeight="true" outlineLevel="0" collapsed="false">
      <c r="A3" s="2" t="s">
        <v>3</v>
      </c>
      <c r="B3" s="2" t="s">
        <v>2</v>
      </c>
      <c r="C3" s="2" t="s">
        <v>196</v>
      </c>
    </row>
    <row r="4" customFormat="false" ht="23.25" hidden="false" customHeight="true" outlineLevel="0" collapsed="false">
      <c r="A4" s="4" t="s">
        <v>21</v>
      </c>
      <c r="B4" s="39" t="s">
        <v>197</v>
      </c>
      <c r="C4" s="39" t="s">
        <v>198</v>
      </c>
    </row>
    <row r="5" customFormat="false" ht="15" hidden="false" customHeight="true" outlineLevel="0" collapsed="false">
      <c r="A5" s="7" t="s">
        <v>49</v>
      </c>
      <c r="B5" s="40" t="s">
        <v>199</v>
      </c>
      <c r="C5" s="40" t="s">
        <v>200</v>
      </c>
    </row>
    <row r="6" customFormat="false" ht="15" hidden="false" customHeight="true" outlineLevel="0" collapsed="false">
      <c r="A6" s="4" t="s">
        <v>25</v>
      </c>
      <c r="B6" s="39" t="s">
        <v>201</v>
      </c>
      <c r="C6" s="39" t="s">
        <v>202</v>
      </c>
    </row>
    <row r="7" customFormat="false" ht="15" hidden="false" customHeight="true" outlineLevel="0" collapsed="false">
      <c r="A7" s="7" t="s">
        <v>13</v>
      </c>
      <c r="B7" s="40" t="s">
        <v>203</v>
      </c>
      <c r="C7" s="40" t="s">
        <v>204</v>
      </c>
    </row>
    <row r="8" customFormat="false" ht="15" hidden="false" customHeight="true" outlineLevel="0" collapsed="false">
      <c r="A8" s="4" t="s">
        <v>176</v>
      </c>
      <c r="B8" s="39" t="s">
        <v>205</v>
      </c>
      <c r="C8" s="39"/>
    </row>
    <row r="9" customFormat="false" ht="15" hidden="false" customHeight="true" outlineLevel="0" collapsed="false">
      <c r="A9" s="7" t="s">
        <v>177</v>
      </c>
      <c r="B9" s="40" t="s">
        <v>206</v>
      </c>
      <c r="C9" s="40"/>
    </row>
    <row r="10" customFormat="false" ht="15" hidden="false" customHeight="true" outlineLevel="0" collapsed="false">
      <c r="A10" s="4" t="s">
        <v>178</v>
      </c>
      <c r="B10" s="39" t="s">
        <v>207</v>
      </c>
      <c r="C10" s="39"/>
    </row>
    <row r="11" customFormat="false" ht="15" hidden="false" customHeight="true" outlineLevel="0" collapsed="false">
      <c r="A11" s="7" t="s">
        <v>179</v>
      </c>
      <c r="B11" s="40" t="s">
        <v>208</v>
      </c>
      <c r="C11" s="40" t="s">
        <v>209</v>
      </c>
    </row>
    <row r="12" customFormat="false" ht="15" hidden="false" customHeight="true" outlineLevel="0" collapsed="false">
      <c r="A12" s="4" t="s">
        <v>180</v>
      </c>
      <c r="B12" s="39" t="s">
        <v>210</v>
      </c>
      <c r="C12" s="39"/>
    </row>
    <row r="13" customFormat="false" ht="15" hidden="false" customHeight="true" outlineLevel="0" collapsed="false">
      <c r="A13" s="7" t="s">
        <v>211</v>
      </c>
      <c r="B13" s="40" t="s">
        <v>212</v>
      </c>
      <c r="C13" s="40" t="s">
        <v>213</v>
      </c>
    </row>
    <row r="14" customFormat="false" ht="15" hidden="false" customHeight="true" outlineLevel="0" collapsed="false">
      <c r="A14" s="4" t="s">
        <v>181</v>
      </c>
      <c r="B14" s="39" t="s">
        <v>214</v>
      </c>
      <c r="C14" s="39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2026-04-05T19:10:08Z</dcterms:created>
  <dc:creator>openpyxl</dc:creator>
  <dc:description/>
  <dc:language>en-US</dc:language>
  <cp:lastModifiedBy/>
  <dcterms:modified xsi:type="dcterms:W3CDTF">2026-04-12T19:11:33Z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